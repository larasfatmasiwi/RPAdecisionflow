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 sheetId="1" r:id="rId4"/>
    <sheet state="visible" name="Step 1" sheetId="2" r:id="rId5"/>
    <sheet state="visible" name="Step 2" sheetId="3" r:id="rId6"/>
    <sheet state="visible" name="Step 3" sheetId="4" r:id="rId7"/>
    <sheet state="visible" name="Step 4" sheetId="5" r:id="rId8"/>
    <sheet state="visible" name="Step 5" sheetId="6" r:id="rId9"/>
    <sheet state="visible" name="Sources" sheetId="7" r:id="rId10"/>
    <sheet state="visible" name="Appendix 1" sheetId="8" r:id="rId11"/>
  </sheets>
  <definedNames>
    <definedName name="_xlchart.v2.11">'Step 5'!$G$78</definedName>
    <definedName name="_xlchart.v2.22">'Step 5'!$B$82:$G$82</definedName>
    <definedName name="_xlchart.v1.26">'Step 5'!$A$81</definedName>
    <definedName name="_xlchart.v2.7">'Step 5'!$E$78</definedName>
    <definedName name="_xlchart.v2.1">'Step 5'!$B$78</definedName>
    <definedName name="_xlchart.v2.20">'Step 5'!$B$80:$G$80</definedName>
    <definedName name="_xlchart.v2.5">'Step 5'!$D$78</definedName>
    <definedName name="_xlchart.v2.2">'Step 5'!$B$79:$B$83</definedName>
    <definedName name="_xlchart.v2.15">'Step 5'!$A$81</definedName>
    <definedName name="_xlchart.v2.13">'Step 5'!$A$79</definedName>
    <definedName name="_xlchart.v2.3">'Step 5'!$C$78</definedName>
    <definedName name="_xlchart.v1.32">'Step 5'!$B$81:$G$81</definedName>
    <definedName name="_xlchart.v2.4">'Step 5'!$C$79:$C$83</definedName>
    <definedName name="_xlchart.v2.14">'Step 5'!$A$80</definedName>
    <definedName name="_xlchart.v2.0">'Step 5'!$A$79:$A$83</definedName>
    <definedName name="_xlchart.v2.16">'Step 5'!$A$82</definedName>
    <definedName name="_xlchart.v1.29">'Step 5'!$B$78:$G$78</definedName>
    <definedName name="_xlchart.v2.19">'Step 5'!$B$79:$G$79</definedName>
    <definedName name="_xlchart.v2.10">'Step 5'!$F$79:$F$83</definedName>
    <definedName name="_xlchart.v2.23">'Step 5'!$B$83:$G$83</definedName>
    <definedName name="_xlchart.v1.30">'Step 5'!$B$79:$G$79</definedName>
    <definedName name="_xlchart.v2.17">'Step 5'!$A$83</definedName>
    <definedName name="_xlchart.v2.6">'Step 5'!$D$79:$D$83</definedName>
    <definedName name="_xlchart.v2.12">'Step 5'!$G$79:$G$83</definedName>
    <definedName name="_xlchart.v1.33">'Step 5'!$B$82:$G$82</definedName>
    <definedName name="_xlchart.v1.34">'Step 5'!$B$83:$G$83</definedName>
    <definedName name="_xlchart.v1.27">'Step 5'!$A$82</definedName>
    <definedName name="_xlchart.v1.28">'Step 5'!$A$83</definedName>
    <definedName name="_xlchart.v1.24">'Step 5'!$A$79</definedName>
    <definedName name="_xlchart.v2.21">'Step 5'!$B$81:$G$81</definedName>
    <definedName name="_xlchart.v1.25">'Step 5'!$A$80</definedName>
    <definedName name="_xlchart.v2.18">'Step 5'!$B$78:$G$78</definedName>
    <definedName name="_xlchart.v2.9">'Step 5'!$F$78</definedName>
    <definedName name="_xlchart.v2.8">'Step 5'!$E$79:$E$83</definedName>
    <definedName name="_xlchart.v1.31">'Step 5'!$B$80:$G$80</definedName>
  </definedNames>
  <calcPr/>
  <extLst>
    <ext uri="GoogleSheetsCustomDataVersion2">
      <go:sheetsCustomData xmlns:go="http://customooxmlschemas.google.com/" r:id="rId12" roundtripDataChecksum="y0RV2tgPlx0ng3wvU+fVl/mEpibw5S5lBICplpfrbkI="/>
    </ext>
  </extLst>
</workbook>
</file>

<file path=xl/sharedStrings.xml><?xml version="1.0" encoding="utf-8"?>
<sst xmlns="http://schemas.openxmlformats.org/spreadsheetml/2006/main" count="895" uniqueCount="600">
  <si>
    <t>Detail</t>
  </si>
  <si>
    <t>This worksheet is designed to support the decision-making process by identifying the key considerations for expanding into projects in a new country.</t>
  </si>
  <si>
    <t>The five-step decision flow draws on the OECD blended finance framework, incorporates RPA-specific priorities, and is informed by various publicly available blended finance sources:</t>
  </si>
  <si>
    <t>Step 1</t>
  </si>
  <si>
    <t>Identify and Define the Development Challenges</t>
  </si>
  <si>
    <t>Step 2</t>
  </si>
  <si>
    <t>Map the intermediaries already addressing the issue</t>
  </si>
  <si>
    <t>Step 3</t>
  </si>
  <si>
    <t>Diagnose the project stage and barriers</t>
  </si>
  <si>
    <t>Step 4</t>
  </si>
  <si>
    <t>Recommend blended finance tool</t>
  </si>
  <si>
    <t>Step 5</t>
  </si>
  <si>
    <t>Recommend a global expansion option for RPA</t>
  </si>
  <si>
    <t xml:space="preserve"> </t>
  </si>
  <si>
    <t>Identify the key environmental, social, and/or economic issues in the country, and assess how these issues create a clear development rationale for intervention. In line with Blended Finance Principle 1: Anchor blended finance to a development rationale.</t>
  </si>
  <si>
    <t>Use development finance in blended finance as a driver to maximise development outcomes and impact</t>
  </si>
  <si>
    <t>Define development objectives and expected results as the basis for deploying development finance</t>
  </si>
  <si>
    <t>Demonstrate a commitment to high quality</t>
  </si>
  <si>
    <t>This process can be informed by desk research, interviews with local stakeholders, and analysis using the SDG framework or each country's Nationally Determined Contributions (NDCs) as a part of Paris Agreement compliance target.</t>
  </si>
  <si>
    <t>SDG</t>
  </si>
  <si>
    <t>Description</t>
  </si>
  <si>
    <t>1 - No poverty</t>
  </si>
  <si>
    <t>End poverty in all its forms everywhere</t>
  </si>
  <si>
    <t>2 - Zero hunger</t>
  </si>
  <si>
    <t>End hunger, achieve food security and improved nutrition and promote sustainable agriculture</t>
  </si>
  <si>
    <t>3 - Good health and well-being</t>
  </si>
  <si>
    <t>Ensure healthy lives and promote well-being for all at all ages</t>
  </si>
  <si>
    <t>4 - Quality education</t>
  </si>
  <si>
    <t>Ensure inclusive and equitable quality education and promote lifelong learning opportunities for all</t>
  </si>
  <si>
    <t>5 - Gender equality</t>
  </si>
  <si>
    <t>Achieve gender equality and empower all women and girls</t>
  </si>
  <si>
    <t>6 - Clean water and sanitation</t>
  </si>
  <si>
    <t>Ensure availability and sustainable management of water and sanitation for all</t>
  </si>
  <si>
    <t>7 - Affordable and clean energy</t>
  </si>
  <si>
    <t>Ensure access to affordable, reliable, sustainable and modern energy for all</t>
  </si>
  <si>
    <t>8 - Decent work and economic growth</t>
  </si>
  <si>
    <t>Promote sustained, inclusive and sustainable economic growth, full and productive employment and decent work for all</t>
  </si>
  <si>
    <t>9 - Industry, innovation, and infrastructure</t>
  </si>
  <si>
    <t>Build resilient infrastructure, promote inclusive and sustainable industrialization and foster innovation</t>
  </si>
  <si>
    <t>10 - Reduced inequalities</t>
  </si>
  <si>
    <t>Reduce inequality within and among countries</t>
  </si>
  <si>
    <t>11 - Sustainable cities and communities</t>
  </si>
  <si>
    <t>Make cities and human settlements inclusive, safe, resilient and sustainable</t>
  </si>
  <si>
    <t>12 - Responsible consumption and production</t>
  </si>
  <si>
    <t>Ensure sustainable consumption and production patterns</t>
  </si>
  <si>
    <t>13 - Climate action</t>
  </si>
  <si>
    <t>Take urgent action to combat climate change and its impacts</t>
  </si>
  <si>
    <t>14 - Life below water</t>
  </si>
  <si>
    <t>Conserve and sustainably use the oceans, seas and marine resources for sustainable development</t>
  </si>
  <si>
    <t>15 - Life on land</t>
  </si>
  <si>
    <t>Protect, restore and promote sustainable use of terrestrial ecosystems, sustainably manage forests, combat desertification, and halt and reverse land degradation and halt biodiversity loss</t>
  </si>
  <si>
    <t>16 - Peace, justice, and strong institutions</t>
  </si>
  <si>
    <t>Promote peaceful and inclusive societies for sustainable development, provide access to justice for all and build effective, accountable and inclusive institutions at all levels</t>
  </si>
  <si>
    <t>17 - Partnerships for the goals</t>
  </si>
  <si>
    <t>Strengthen the means of implementation and revitalize the Global Partnership for Sustainable Development</t>
  </si>
  <si>
    <t>Worksheet for Step 1</t>
  </si>
  <si>
    <t>Country</t>
  </si>
  <si>
    <t>SDG Goals/NDCs Target</t>
  </si>
  <si>
    <t>Country Challenges</t>
  </si>
  <si>
    <t>Background Information</t>
  </si>
  <si>
    <t>Project Name</t>
  </si>
  <si>
    <t>Launch Year</t>
  </si>
  <si>
    <t>Size</t>
  </si>
  <si>
    <t>Model</t>
  </si>
  <si>
    <t>Development Rationale</t>
  </si>
  <si>
    <t>Expected Results</t>
  </si>
  <si>
    <t>Quality/Safeguards</t>
  </si>
  <si>
    <t>Sources</t>
  </si>
  <si>
    <t>Enter the target country being assessed</t>
  </si>
  <si>
    <t>Identify the most relevant SDG(s) and, where applicable, the related NDC priority connected to the issue</t>
  </si>
  <si>
    <t>Summarize the main challenges affecting the country</t>
  </si>
  <si>
    <t>Briefly explain the issue using key facts, trends, and context to show why it matters</t>
  </si>
  <si>
    <t>State the project name that addressing the country challenges</t>
  </si>
  <si>
    <t>Indicate the year the project was launched.</t>
  </si>
  <si>
    <t>Specify the project size.</t>
  </si>
  <si>
    <t>Describe the project model/program.</t>
  </si>
  <si>
    <t>Describe why this challenge justifies development intervention and why additional support may still be needed</t>
  </si>
  <si>
    <t>State the intended development outcomes and what success would look like</t>
  </si>
  <si>
    <t>Note key safeguards or quality factors such as inclusiveness, stakeholder alignment, ESG considerations, transparency, and accountability</t>
  </si>
  <si>
    <t>Provide credible references for all key data, claims, and examples used in the row</t>
  </si>
  <si>
    <t>Japan</t>
  </si>
  <si>
    <t>Aging Population</t>
  </si>
  <si>
    <t>- Japan is one of the world’s most aged societies. In 2023, 29.1% of the population was aged 65+, while the working-age population fell to 59.5%. Total Fertility Rate: 1.20 (2023). Total population: 123.75 million (2024) and continues declining. 
- This creates pressure on care systems. More older people need care, while fewer workers are available to provide. By 2040, Japan may need 690,000 additional nursing-care workers according to MHLW. Healthcare and long-term care costs are rising. Japan spends 11.5% of GDP on health, above the OECD average. Social security spending exceeds 36% of national expenditure (FY2023).</t>
  </si>
  <si>
    <t>Toyota City’s “Zutto Genki! Project”</t>
  </si>
  <si>
    <t>5-year project; July 2021-June 2026; up to JPY 500 million; expected 5,000 participants/year, or 25,000 participants over 5 years</t>
  </si>
  <si>
    <t>- The project addresses a real and urgent aging-society challenge on how to prevent or delay the need for long-term care among older residents by increasing social participation, physical activity, community engagement, and a sense of purpose in life.
- However, the project’s core value is generated mainly as a public and social benefit rather than as direct commercial revenue. In practice, this means the city and its partners must prove that a broad preventive-care intervention can translate into measurable future reductions in long-term care expenditure, even though the causal chain is long, the benefits accrue over time, and participant uptake and retention require active management.
- The project uses a Social Impact Bond / Pay-for-Success model for elderly care prevention. Toyota City contracts a private coordinator to manage health-promotion and social-participation programs for older residents. Private companies and service providers deliver activities such as exercise, hobbies, community, and wellness programs. Payment is linked to outcomes, especially reducing the need for long-term care and lowering future public care costs. In short, the model shifts the project from normal public-service spending into an outcome-based prevention program, where public money is used more efficiently if measurable social results are achieved</t>
  </si>
  <si>
    <t>- Japan is responding through community-based integrated care. The approach combines healthcare, long-term care, prevention, housing, and daily-life support.
- Toyota City’s “Zutto Genki! Project” is relevant because it uses a preventive-care model to support healthy ageing, increase social participation, and potentially reduce future long-term care costs.</t>
  </si>
  <si>
    <t>- create a cost-saving for long-term healthcare. According to the 11-year prospective cohort study of healthy Japanese older adults, compared with non-participants, respondents who took part in hobby groups or sports activities once a week incurred lower costs for LTCI services (approximately US$3.5 and US$6.1 thousand, respectively, per person), even after demographic variables and health status at baseline were controlled.</t>
  </si>
  <si>
    <t>- Government involvement to support elderly healthcare policy and broader quality considerations around public delivery, accountability, and social inclusion</t>
  </si>
  <si>
    <r>
      <rPr>
        <rFont val="Calibri"/>
        <color rgb="FF1155CC"/>
        <sz val="11.0"/>
        <u/>
      </rPr>
      <t>https://www.stat.go.jp/english/data/jinsui/2023np/index.html</t>
    </r>
    <r>
      <rPr>
        <rFont val="Calibri"/>
        <color theme="1"/>
        <sz val="11.0"/>
      </rPr>
      <t xml:space="preserve"> 
</t>
    </r>
    <r>
      <rPr>
        <rFont val="Calibri"/>
        <color rgb="FF1155CC"/>
        <sz val="11.0"/>
        <u/>
      </rPr>
      <t>https://www.mhlw.go.jp/content/10807000/001303599.pdf</t>
    </r>
    <r>
      <rPr>
        <rFont val="Calibri"/>
        <color theme="1"/>
        <sz val="11.0"/>
      </rPr>
      <t xml:space="preserve">  
</t>
    </r>
    <r>
      <rPr>
        <rFont val="Calibri"/>
        <color rgb="FF1155CC"/>
        <sz val="11.0"/>
        <u/>
      </rPr>
      <t>https://www.city.toyota.aichi.jp/_res/projects/default_project/_page_/001/044/582/r0604/01.pdf</t>
    </r>
    <r>
      <rPr>
        <rFont val="Calibri"/>
        <color theme="1"/>
        <sz val="11.0"/>
      </rPr>
      <t xml:space="preserve">  
</t>
    </r>
    <r>
      <rPr>
        <rFont val="Calibri"/>
        <color rgb="FF1155CC"/>
        <sz val="11.0"/>
        <u/>
      </rPr>
      <t>https://www.oecd.org/content/dam/oecd/en/publications/reports/2025/07/health-at-a-glance-2023_39bcb58d/japan_0b0de6bb/1b4f5f1d-en.pdf</t>
    </r>
    <r>
      <rPr>
        <rFont val="Calibri"/>
        <color theme="1"/>
        <sz val="11.0"/>
      </rPr>
      <t xml:space="preserve">  </t>
    </r>
    <r>
      <rPr>
        <rFont val="Calibri"/>
        <color rgb="FF1155CC"/>
        <sz val="11.0"/>
        <u/>
      </rPr>
      <t>https://www.oecd.org/content/dam/oecd/en/publications/reports/2024/01/oecd-economic-surveys-japan-2024_9289b572/41e807f9-en.pdf</t>
    </r>
    <r>
      <rPr>
        <rFont val="Calibri"/>
        <color theme="1"/>
        <sz val="11.0"/>
      </rPr>
      <t xml:space="preserve"> 
</t>
    </r>
    <r>
      <rPr>
        <rFont val="Calibri"/>
        <color rgb="FF1155CC"/>
        <sz val="11.0"/>
        <u/>
      </rPr>
      <t>https://www.mhlw.go.jp/content/10500000/000591805.pdf</t>
    </r>
    <r>
      <rPr>
        <rFont val="Calibri"/>
        <color theme="1"/>
        <sz val="11.0"/>
      </rPr>
      <t xml:space="preserve"> 
</t>
    </r>
    <r>
      <rPr>
        <rFont val="Calibri"/>
        <color rgb="FF1155CC"/>
        <sz val="11.0"/>
        <u/>
      </rPr>
      <t>https://www.city.toyota.aichi.jp/_res/projects/default_project/page/001/058/887/02.pdf</t>
    </r>
    <r>
      <rPr>
        <rFont val="Calibri"/>
        <color theme="1"/>
        <sz val="11.0"/>
      </rPr>
      <t xml:space="preserve"> 
</t>
    </r>
    <r>
      <rPr>
        <rFont val="Calibri"/>
        <color rgb="FF1155CC"/>
        <sz val="11.0"/>
        <u/>
      </rPr>
      <t>https://www.clair.or.jp/j/library/docs/2021he-toyota.pdf
https://www.dreamincubator.com/sea/the-zutto-genki-project-a-500-million-healthy-ageing-social-impact-bond-in-toyota-city</t>
    </r>
  </si>
  <si>
    <t>Indonesia</t>
  </si>
  <si>
    <t>Clean energy for villages</t>
  </si>
  <si>
    <t xml:space="preserve">- Indonesia’s challenge is no longer mainly basic electricity access. National electrification had already reached 99.83% in 2024. 
- The bigger issue is meeting rising power demand with cleaner supply. Electricity sales reached 303.4 TWh in 2024. Demand is projected to reach around 445 TWh by 2030 under current planning trajectories. 
- Some regions still need special attention. ESDM has highlighted East Nusa Tenggara, Maluku, and Papua for particular attention. This creates a financing gap for small clean-energy projects. Many projects are developmentally important, but still too small, risky, or weakly structured for normal commercial debt.
</t>
  </si>
  <si>
    <t>Pandanduri Mini Hydro Power Plant</t>
  </si>
  <si>
    <t>Part of three hydropower projects totaling 7 MW capacity; total CAPEX IDR 210 billion; UK-MENTARI grant IDR 21 billion; uses existing dam infrastructure</t>
  </si>
  <si>
    <t>- At the project’s current stage, the core issue is no longer whether Pandanduri is too early to finance. Construction was reported at 97% by March 2025, so the more relevant diagnosis is whether the project’s operating economics, repayment profile, and risk allocation are strong enough to justify capital on sustainable terms as it moves into completion and operations. In other words, the central problem is no longer basic investability, but whether a small renewable-energy asset with limited scale can generate returns attractive enough and sufficiently protected against downside risks for private capital without continued concessional support.
- The project uses a blended finance model with viability gap funding. The mini hydro project generates renewable electricity by using existing public dam infrastructure, thereby reducing construction complexity and improving project feasibility. PT SMI provides debt financing, while the UK-MENTARI grant helps close the funding gap and make the project more bankable. In short, the model combines commercial loan financing with concessional grant support to de-risk a small renewable energy project that may otherwise be too small, too risky, or financially weak for conventional commercial debt.</t>
  </si>
  <si>
    <t>- That is why catalytic capital matters. SDG Indonesia One was designed as a blended-finance platform to combine public and private capital and support sustainable infrastructure. Pandanduri is a strong example. It is a real infrastructure project with a clear financing gap, identified catalytic support, named donors/lenders, and measurable implementation progress. PT SMI states the project had been delayed for years due to commercial feasibility constraints, and that grant support helped it finally reach financial close</t>
  </si>
  <si>
    <t xml:space="preserve">- Pandanduri able to reach renewable energy capacity of 2 x 290 kW. Indonesia will be able to reach 75 GW of clean energy by 2040. </t>
  </si>
  <si>
    <t>- Quality considerations center on project bankability, donor and lender coordination, and disciplined use of catalytic support so concessional funding closes real viability gaps without over-subsidizing projects</t>
  </si>
  <si>
    <r>
      <rPr>
        <rFont val="Calibri"/>
        <color rgb="FF1155CC"/>
        <sz val="11.0"/>
        <u/>
      </rPr>
      <t>https://www.esdm.go.id/assets/media/content/content-handbook-of-energy-and-economic-statistics-of-indonesia-2024.pdf</t>
    </r>
    <r>
      <rPr>
        <rFont val="Calibri"/>
        <color theme="1"/>
        <sz val="11.0"/>
      </rPr>
      <t xml:space="preserve">  
</t>
    </r>
    <r>
      <rPr>
        <rFont val="Calibri"/>
        <color rgb="FF1155CC"/>
        <sz val="11.0"/>
        <u/>
      </rPr>
      <t>https://www.esdm.go.id/en/berita-unit/directorate-general-of-electricity/ruptl-2021-2030-diterbitkan-porsi-ebt-diperbesar</t>
    </r>
    <r>
      <rPr>
        <rFont val="Calibri"/>
        <color theme="1"/>
        <sz val="11.0"/>
      </rPr>
      <t xml:space="preserve">  
</t>
    </r>
    <r>
      <rPr>
        <rFont val="Calibri"/>
        <color rgb="FF1155CC"/>
        <sz val="11.0"/>
        <u/>
      </rPr>
      <t>https://web.pln.co.id/statics/uploads/2025/06/b967d-ruptl-pln-2025-2034-pub-.pdf</t>
    </r>
    <r>
      <rPr>
        <rFont val="Calibri"/>
        <color theme="1"/>
        <sz val="11.0"/>
      </rPr>
      <t xml:space="preserve"> 
</t>
    </r>
    <r>
      <rPr>
        <rFont val="Calibri"/>
        <color rgb="FF1155CC"/>
        <sz val="11.0"/>
        <u/>
      </rPr>
      <t>https://energyandcleanair.org/wp/wp-content/uploads/2025/09/CREA_EN-IDN-Briefing-Indonesias-RUPTL-2025-2034_-Fossils-first-renewables-later.pdf</t>
    </r>
    <r>
      <rPr>
        <rFont val="Calibri"/>
        <color theme="1"/>
        <sz val="11.0"/>
      </rPr>
      <t xml:space="preserve">  
</t>
    </r>
    <r>
      <rPr>
        <rFont val="Calibri"/>
        <color rgb="FF1155CC"/>
        <sz val="11.0"/>
        <u/>
      </rPr>
      <t>https://ember-energy.org/latest-insights/indonesias-expansion-of-clean-power-can-spur-growth-and-equality/</t>
    </r>
    <r>
      <rPr>
        <rFont val="Calibri"/>
        <color theme="1"/>
        <sz val="11.0"/>
      </rPr>
      <t xml:space="preserve"> 
</t>
    </r>
    <r>
      <rPr>
        <rFont val="Calibri"/>
        <color rgb="FF1155CC"/>
        <sz val="11.0"/>
        <u/>
      </rPr>
      <t>https://www.esdm.go.id/en/media-center/news-archives/bigger-share-given-to-renewables-in-2021-2030-electricity-procurement-plan</t>
    </r>
    <r>
      <rPr>
        <rFont val="Calibri"/>
        <color theme="1"/>
        <sz val="11.0"/>
      </rPr>
      <t xml:space="preserve">  
</t>
    </r>
    <r>
      <rPr>
        <rFont val="Calibri"/>
        <color rgb="FF1155CC"/>
        <sz val="11.0"/>
        <u/>
      </rPr>
      <t>https://www.ptsmi.co.id/statement-on-climate-change-issue</t>
    </r>
    <r>
      <rPr>
        <rFont val="Calibri"/>
        <color theme="1"/>
        <sz val="11.0"/>
      </rPr>
      <t xml:space="preserve"> 
</t>
    </r>
    <r>
      <rPr>
        <rFont val="Calibri"/>
        <color rgb="FF1155CC"/>
        <sz val="11.0"/>
        <u/>
      </rPr>
      <t>https://www.ptsmi.co.id/cfind/source/files/sustainable-funding/sustainalytics-second-party-opinion-on-pt-smis-sustainable-funding-framework.pdf</t>
    </r>
    <r>
      <rPr>
        <rFont val="Calibri"/>
        <color theme="1"/>
        <sz val="11.0"/>
      </rPr>
      <t xml:space="preserve"> 
</t>
    </r>
    <r>
      <rPr>
        <rFont val="Calibri"/>
        <color rgb="FF1155CC"/>
        <sz val="11.0"/>
        <u/>
      </rPr>
      <t>https://www.ptsmi.co.id/uk-climate-minister-reviews-pandanduri-micro-hydroelectric-power-plant-appreciates-collaboration-with-pt-smi</t>
    </r>
    <r>
      <rPr>
        <rFont val="Calibri"/>
        <color theme="1"/>
        <sz val="11.0"/>
      </rPr>
      <t xml:space="preserve">  
</t>
    </r>
    <r>
      <rPr>
        <rFont val="Calibri"/>
        <color rgb="FF1155CC"/>
        <sz val="11.0"/>
        <u/>
      </rPr>
      <t>https://www.flashlombok.com/2025/04/18/pltmh-pandan-duri-diresmikan-dukung-proses-transisi-energi/
https://mentari.info/2023/03/29/uk-government-to-provide-idr-21-billion-through-mentari-programme-for-a-blended-finance-vehicle-with-pt-smi-to-three-hydropower-plants-in-indonesia/</t>
    </r>
  </si>
  <si>
    <t>Identify the organizations, institutions, and actors already working on the challenge in the target country. This step helps clarify the existing ecosystem, understand who is doing what, and assess which intermediaries may be relevant for partnership, learning, or future engagement by RPA.</t>
  </si>
  <si>
    <t>Worksheet for Step 2</t>
  </si>
  <si>
    <t>Project Context</t>
  </si>
  <si>
    <t>Intermediary</t>
  </si>
  <si>
    <t>Intermediary Description</t>
  </si>
  <si>
    <t>Intermediary Role</t>
  </si>
  <si>
    <t>Enter the country as in Step 1</t>
  </si>
  <si>
    <t>List any current project, policy, or initiative already responding to the issue referring to Step 1</t>
  </si>
  <si>
    <t>Name the organization, institution, or actor already involved</t>
  </si>
  <si>
    <t>Briefly describe the intermediary and its type, such as NGO, foundation, investor, government agency, incubator, DFI, or service provider</t>
  </si>
  <si>
    <t>Explain what the intermediary is currently doing in relation to the project</t>
  </si>
  <si>
    <t>Dream Incubator (DI)</t>
  </si>
  <si>
    <t>Japanese strategy and business-investment firm that has actively promoted Social Impact Bonds in Japan. DI states that it has been promoting SIBs as a mechanism to address social challenges and worked with Toyota City on the care-prevention SIB initiative.</t>
  </si>
  <si>
    <t>DI helped structure the Toyota City SIB model. Its materials explain that the Toyota City project aimed to reduce the number of seniors requiring nursing care and to reduce future care costs through social-participation services.</t>
  </si>
  <si>
    <r>
      <rPr>
        <rFont val="Calibri"/>
        <color rgb="FF1155CC"/>
        <sz val="11.0"/>
        <u/>
      </rPr>
      <t>https://www.dreamincubator.co.jp/wp/wp-content/uploads/2022/05/DIREPORT_SIB_EN.pdf</t>
    </r>
    <r>
      <rPr>
        <rFont val="Calibri"/>
        <color rgb="FF000000"/>
        <sz val="11.0"/>
      </rPr>
      <t xml:space="preserve">   
</t>
    </r>
    <r>
      <rPr>
        <rFont val="Calibri"/>
        <color rgb="FF1155CC"/>
        <sz val="11.0"/>
        <u/>
      </rPr>
      <t>https://www.dreamincubator.co.jp/wp-content/uploads/2021/01/210105_SIB_DI_Toyotacity_EN01.pdf</t>
    </r>
    <r>
      <rPr>
        <rFont val="Calibri"/>
        <color rgb="FF000000"/>
        <sz val="11.0"/>
      </rPr>
      <t xml:space="preserve"> </t>
    </r>
  </si>
  <si>
    <t>Next Rise Social Impact Action LLC (NRS)</t>
  </si>
  <si>
    <t>The operating entity in the Toyota City case. DI’s SIB materials state that Next Rise Social Impact Action LLC was contracted by Toyota City to operate and promote the social services under the project from July 1, 2021 to June 30, 2026.</t>
  </si>
  <si>
    <t>NRS functions as the implementation intermediary. DI’s materials say Toyota City contracted NRS to run and promote the social-participation services and that service providers were selected by NRS.</t>
  </si>
  <si>
    <t>https://www.dreamincubator.co.jp/wp/wp-content/uploads/2022/05/DIREPORT_SIB_EN.pdf</t>
  </si>
  <si>
    <t>JAGES (Japan Gerontological Evaluation Study)</t>
  </si>
  <si>
    <t>A research and evaluation body used in the Toyota City case as part of the evidence and impact-measurement system. Toyota City’s materials link the project to academic evaluation and impact assessment.</t>
  </si>
  <si>
    <t>JAGES serves as an evidence and evaluation intermediary. In practice, this kind of actor makes preventive-care projects more credible by helping measure whether participation actually changes care-risk and cost outcomes. Toyota City’s public materials explicitly present the project as a privately led preventive-care initiative using the SIB mechanism.</t>
  </si>
  <si>
    <t>https://www.city.toyota.aichi.jp/_res/projects/default_project/_page_/001/054/238/r0710/01.pdf</t>
  </si>
  <si>
    <t>PT Sarana Multi Infrastruktur (PT SMI)</t>
  </si>
  <si>
    <t>Indonesian state-owned development financing institution and the anchor of SDG Indonesia One. PT SMI describes SDG Indonesia One as a blended-finance platform launched in 2018 that combines philanthropic, donor, bilateral, multilateral, banking, insurance, and other investor funds through development, de-risking, financing, and equity facilities. The Pandanduri Micro Hydro Power Plant (PLTMH Pandanduri) in East Lombok, West Nusa Tenggara, is a small-scale renewable energy project supported through a blended finance structure. Official PT SMI disclosures state that financing disbursed for Pandanduri amounted to IDR 9.6 billion, alongside a Viability Gap Fund (VGF) grant of IDR 2.6 billion. PT SMI’s case-study presentation further indicates a project cost of around IDR 17.3 billion, structured approximately as 55% PT SMI financing, 15% UK MENTARI grant, and 30% project sponsor contribution.</t>
  </si>
  <si>
    <t>PT SMI is the primary platform intermediary in Indonesia. It does not just lend; it structures blended-finance transactions, supports project development, and manages different facilities under SDG Indonesia One. Pandanduri serves as a project-level demonstration of how catalytic grant funding can unlock debt financing for small renewable energy projects that face commercial feasibility constraints. PT SMI states that the project had been delayed for several years due to commercial feasibility issues, and that the VGF grant helped the project reach financial close and obtain a PT SMI loan. As of March 2025, construction progress had reached 97%, and the project was expected to generate 0.58 MW when operational. This makes Pandanduri a late-construction / near-operation example of SDG Indonesia One-style blended finance in practice.</t>
  </si>
  <si>
    <r>
      <rPr>
        <rFont val="Calibri, sans-serif"/>
        <color rgb="FF0000FF"/>
        <sz val="11.0"/>
        <u/>
      </rPr>
      <t xml:space="preserve">https://www.ptsmi.co.id/cfind/source/files/annual-report/annual-report-pt-smi-2024.pdf
</t>
    </r>
    <r>
      <rPr>
        <rFont val="Calibri, sans-serif"/>
        <color rgb="FF1155CC"/>
        <sz val="11.0"/>
        <u/>
      </rPr>
      <t>https://www.ptsmi.co.id/uk-climate-minister-reviews-pandanduri-micro-hydroelectric-power-plant-appreciates-collaboration-with-pt-smi</t>
    </r>
    <r>
      <rPr>
        <rFont val="Calibri, sans-serif"/>
        <color rgb="FF1F1F1F"/>
        <sz val="11.0"/>
      </rPr>
      <t xml:space="preserve">  
</t>
    </r>
    <r>
      <rPr>
        <rFont val="Calibri, sans-serif"/>
        <color rgb="FF1155CC"/>
        <sz val="11.0"/>
        <u/>
      </rPr>
      <t>https://mentari.info/2023/03/29/uk-government-to-provide-idr-21-billion-through-mentari-programme-for-a-blended-finance-vehicle-with-pt-smi-to-three-hydropower-plants-in-indonesia/</t>
    </r>
    <r>
      <rPr>
        <rFont val="Calibri, sans-serif"/>
        <color rgb="FF1F1F1F"/>
        <sz val="11.0"/>
      </rPr>
      <t xml:space="preserve">  
</t>
    </r>
    <r>
      <rPr>
        <rFont val="Calibri, sans-serif"/>
        <color rgb="FF1155CC"/>
        <sz val="11.0"/>
        <u/>
      </rPr>
      <t>https://www.thkforum.org/wp-content/uploads/2025/07/Delano-Delo-250620-Tri-Hita-Kirana-GBFA-PT-SMI_s-Role-in-Supporting-the-Energy-Transition-in-Indonesia-CLEAN.pdf</t>
    </r>
    <r>
      <rPr>
        <rFont val="Calibri, sans-serif"/>
        <color rgb="FF1F1F1F"/>
        <sz val="11.0"/>
      </rPr>
      <t xml:space="preserve">  </t>
    </r>
  </si>
  <si>
    <t>MENTARI</t>
  </si>
  <si>
    <t>UK-funded clean-energy support programme in Indonesia. Official materials state that MENTARI provided IDR 21 billion in grants to support three hydropower plants with 7 MW total capacity and IDR 210 billion total investment, specifically to improve financial viability and unlock PT SMI financing.</t>
  </si>
  <si>
    <t>MENTARI functions as a catalytic grant/de-risking intermediary. Its role is not generic donor support; it is targeted at solving bankability barriers in small renewable-energy projects.</t>
  </si>
  <si>
    <r>
      <rPr>
        <rFont val="Calibri"/>
        <color rgb="FF1155CC"/>
        <sz val="11.0"/>
        <u/>
      </rPr>
      <t>https://www.eeas.europa.eu/delegations/indonesia/sdg-indonesia-one_en</t>
    </r>
    <r>
      <rPr>
        <rFont val="Calibri"/>
        <color rgb="FF000000"/>
        <sz val="11.0"/>
      </rPr>
      <t xml:space="preserve"> 
</t>
    </r>
    <r>
      <rPr>
        <rFont val="Calibri"/>
        <color rgb="FF1155CC"/>
        <sz val="11.0"/>
        <u/>
      </rPr>
      <t>https://mentari.info/2023/03/29/uk-government-to-provide-idr-21-billion-through-mentari-programme-for-a-blended-finance-vehicle-with-pt-smi-to-three-hydropower-plants-in-indonesia/</t>
    </r>
    <r>
      <rPr>
        <rFont val="Calibri"/>
        <color rgb="FF000000"/>
        <sz val="11.0"/>
      </rPr>
      <t xml:space="preserve"> </t>
    </r>
  </si>
  <si>
    <t>EU support to SDG Indonesia One</t>
  </si>
  <si>
    <t>The EU Delegation states that its support to PT SMI under SDG Indonesia One included €2 million in grants to target project sponsors facing higher financial barriers and €3 million of technical assistance for project preparation and strategic capacity building at PT SMI, especially to increase the bankability of small renewable-energy projects.</t>
  </si>
  <si>
    <t>The EU acts as a project-preparation and bankability intermediary, especially through grants plus TA. This is not the same as being the main lender; it is upstream support that helps projects become financeable.</t>
  </si>
  <si>
    <t>https://www.eeas.europa.eu/delegations/indonesia/sdg-indonesia-one_en</t>
  </si>
  <si>
    <t>Project stage and barriers primarily derive from the World Economic Forum document titled "Blended Finance Vol. 1: A Primer for Development Finance and Philanthropic Funders," published in 2015. However, because this document might be obsolete in the current situation, we add a new stage, which is the expansion stage, after assessing the Project in Japan. These barriers are subject to change. If the project does not fit in any of these barriers and stages, we can add the relevant stage and barriers.</t>
  </si>
  <si>
    <t>Barrier Description</t>
  </si>
  <si>
    <t>Project Stage</t>
  </si>
  <si>
    <t>Barrier category</t>
  </si>
  <si>
    <t>Recommended Solutions</t>
  </si>
  <si>
    <t>Preparing</t>
  </si>
  <si>
    <t>High upfront costs; binary risk that a project will not happen</t>
  </si>
  <si>
    <t>Significant initial costs, coupled with uncertain viability and visibility into whether a project will be approved for construction/operation or a company will launch, can cause investors to restrict their capital exposure.</t>
  </si>
  <si>
    <t>Preparing funding addresses the high upfront costs associated with pre-commissioned projects and feasibility exercises for new businesses. Funding at this stage is most often applicable to large infrastructure projects. It is typically in the form of grants, repayable grants or highly flexible loans.</t>
  </si>
  <si>
    <t>Pioneering</t>
  </si>
  <si>
    <t>Early-stage projects with high business model risk; high transaction costs</t>
  </si>
  <si>
    <t>In very early stage investments where entrepreneurs are experimenting with new ideas, products and business models, it can be difficult for private investors to justify the time and funds to support innovation.</t>
  </si>
  <si>
    <t>Pioneering funding addresses the high risk and uncertain returns associated with early stage investments, or projects using new technologies or in new markets. It is typically in the form of seed or venture capital that helps entrepreneurs to test and experiment with new ideas, markets, and/or business models.</t>
  </si>
  <si>
    <t>Facilitating</t>
  </si>
  <si>
    <t>Sectorial or project risks; returns below commercial rates</t>
  </si>
  <si>
    <t>Projects and enterprises seeking growth require capital to fund expansion and/or ongoing operations. While they may offer strong development returns at this stage, the risk-adjusted returns for private investors may be below commercial thresholds.</t>
  </si>
  <si>
    <t>Facilitating funding assists projects and companies that may offer low returns relative to the risks, which investors do not find to be commercially viable. By investing in the riskiest parts of the capital structure, development and philanthropic investors can make the private sector investment more attractive. Direct funding at this stage takes a variety of forms including most often flexible or subordinate debt, i.e. mezzanine, and junior equity.</t>
  </si>
  <si>
    <t>Anchoring</t>
  </si>
  <si>
    <t>Macro or sectorial risks; liquidity, refinancing and exit risks</t>
  </si>
  <si>
    <t>As mature or credible enterprises/projects are seeking capital for scaling or replicating in critical areas of development, capital providers may be hesitant to invest due to real and perceived macro risks, such as political, sectoral and currency risks and uncertainty around exits.</t>
  </si>
  <si>
    <t>Anchoring funding from a development funder on the same terms as private sector investment can provide comfort to investors, lowering the perceived ability to manage macro risks and increasing the perceived quality of the investment. Anchoring funding can be in the form of either market rate debt or equity.</t>
  </si>
  <si>
    <t>Transitioning</t>
  </si>
  <si>
    <t>Lack of local markets knowledge and deal pipeline; inefficient markets</t>
  </si>
  <si>
    <t>Projects and enterprises at a very mature stage are well suited for commercial viability and access to commercial markets. However, many private investors lack access to a pipeline of deals that are sufficiently sizeable and scalable to fit within investor mandates.</t>
  </si>
  <si>
    <t>Transitioning funding allows funding pools looking to invest in development sector access to a pipeline of deals that are sufficiently sizeable and scalable to fit within investor mandates.</t>
  </si>
  <si>
    <t>Expansion</t>
  </si>
  <si>
    <t>Difficult to monetize social outcomes</t>
  </si>
  <si>
    <t>The project has been completed or has proven successful, and there is now a desire to expand, replicate, or implement it in new locations or with new target groups. However, the primary benefits of the project are social or public in nature, making it difficult to translate them into cash flows, revenue, or clear payment mechanisms. At this stage, the project does not revert to the "Early Stage," as it already has evidence of its track record, yet it still requires a new structural framework to ensure its social impact effectively supports financing its expansion.</t>
  </si>
  <si>
    <t>Linking financing to verified outcomes through outcome-based incentives can help scale a proven project whose benefits are primarily social or public. This approach converts measurable impact into a payment logic, allowing foundations, donors, governments, or outcome payers to provide financial incentives once agreed results are achieved.</t>
  </si>
  <si>
    <t>Worksheet for Step 3</t>
  </si>
  <si>
    <t>Progress Evidence</t>
  </si>
  <si>
    <t>Project Barrier</t>
  </si>
  <si>
    <t>List any current project, policy, or initiative as in Step 2</t>
  </si>
  <si>
    <t>Provide supporting data, facts, or observations that justify the project progress.</t>
  </si>
  <si>
    <t>Express the project stage according to the actual progress.</t>
  </si>
  <si>
    <t>Identify the main barrier preventing the project from attracting or mobilizing suitable financing.</t>
  </si>
  <si>
    <t xml:space="preserve">The project’s monetization logic is based primarily on avoided public cost, not on user-paid revenue. The report states that the policy logic was to spend up to JPY 500 million over five years to reduce long-term care insurance expenditure by JPY 1 billion, meaning the financial case depends on proving future fiscal savings rather than selling a product or service directly to participants. The report also identifies causality and measurement as core barriers: long-term care prevention is difficult for social finance because the causal chain is long, and the relationship between program outputs, individual outcomes, and government savings has historically been hard to demonstrate. This links directly to a second barrier: weak short-term returns/long payback periods, because even if the intervention works, savings do not appear immediately and require long-term observation, evaluation, and confidence in future outcome payments. In addition, the report documents local implementation constraints: Toyota City faced administrative capacity pressure during COVID-19 as staff resources were diverted to pandemic countermeasures, and the project still had to build demand for preventive care on the ground. Participation was therefore a live implementation challenge: Year 1 reached 2,603 participants against a nominal annual target of 5,000, although Year 2 rose to 5,838, and cumulative participation reached 8,441. Midterm evaluation nevertheless showed promising evidence that social value could be translated into public savings: the matched analysis estimated approximately JPY 88,000 lower long-term care expenditure per participant and an implied project-level reduction of about JPY 370 million after two years. In summary, the best-fit diagnosis is that this is a socially valuable service-delivery project whose main challenge is not lack of relevance, but the difficulty of converting dispersed public benefits into credible, measurable, and financeable cash-equivalent outcomes at sufficient scale.
</t>
  </si>
  <si>
    <r>
      <rPr>
        <rFont val="Calibri"/>
        <color rgb="FF1155CC"/>
        <sz val="11.0"/>
        <u/>
      </rPr>
      <t>https://www.clair.or.jp/j/library/docs/2021he-toyota.pdf</t>
    </r>
    <r>
      <rPr>
        <rFont val="Calibri"/>
        <color theme="1"/>
        <sz val="11.0"/>
      </rPr>
      <t xml:space="preserve"> 
</t>
    </r>
    <r>
      <rPr>
        <rFont val="Calibri"/>
        <color rgb="FF1155CC"/>
        <sz val="11.0"/>
        <u/>
      </rPr>
      <t>https://www.dreamincubator.com/sea/the-zutto-genki-project-a-500-million-healthy-ageing-social-impact-bond-in-toyota-city/</t>
    </r>
    <r>
      <rPr>
        <rFont val="Calibri"/>
        <color theme="1"/>
        <sz val="11.0"/>
      </rPr>
      <t xml:space="preserve"> </t>
    </r>
  </si>
  <si>
    <t>The reported 97% construction progress by March 2025 indicates that the project has already passed the main development and financing-closure hurdle. That means the historical bankability barrier was at least partly overcome. The project's current stage is that the remaining concerns lie in project economics and risk-adjusted returns. The case materials show that the project needed a blended structure to move forward: total project cost was reported at about IDR 17.3 billion, with roughly IDR 9.6 billion financed by PT SMI, around IDR 2.6 billion provided through a UK MENTARI grant/viability-gap support window, and the remainder supported by sponsor capital of roughly 30% of project cost. That financing mix suggests that the project’s standalone economics were not strong enough to rely entirely on ordinary commercial terms. For a small hydro asset of roughly 0.58 MW, that is consistent with a returns too low/payback too long barrier: the project can be socially and developmentally useful, but revenue scale may be modest relative to capital cost, making tenor, debt-service capacity, and investor return expectations more difficult to satisfy. A related secondary barrier is downside-risk perception. Even after construction is nearly complete, investors may remain concerned about operating performance, hydrology variability, maintenance, offtake reliability, refinancing conditions, or other factors that could weaken cash flow. Therefore, the best diagnosis for the project’s current stage is not early-stage non-investability, but a late-stage/pre-operation economics-and-risk challenge: the asset appears close to completion, yet its attractiveness to private capital still depends on whether long-payback renewable infrastructure risks are adequately mitigated and whether the expected return is strong enough without over-subsidization.</t>
  </si>
  <si>
    <r>
      <rPr>
        <rFont val="Calibri"/>
        <color rgb="FF1155CC"/>
        <sz val="11.0"/>
        <u/>
      </rPr>
      <t>https://mentari.info/2023/03/29/uk-government-to-provide-idr-21-billion-through-mentari-programme-for-a-blended-finance-vehicle-with-pt-smi-to-three-hydropower-plants-in-indonesia/</t>
    </r>
    <r>
      <rPr>
        <rFont val="Calibri"/>
        <color theme="1"/>
        <sz val="11.0"/>
      </rPr>
      <t xml:space="preserve"> 
</t>
    </r>
    <r>
      <rPr>
        <rFont val="Calibri"/>
        <color rgb="FF1155CC"/>
        <sz val="11.0"/>
        <u/>
      </rPr>
      <t>https://www.ptsmi.co.id/uk-climate-minister-reviews-pandanduri-micro-hydroelectric-power-plant-appreciates-collaboration-with-pt-smi</t>
    </r>
    <r>
      <rPr>
        <rFont val="Calibri"/>
        <color theme="1"/>
        <sz val="11.0"/>
      </rPr>
      <t xml:space="preserve"> 
</t>
    </r>
    <r>
      <rPr>
        <rFont val="Calibri"/>
        <color rgb="FF1155CC"/>
        <sz val="11.0"/>
        <u/>
      </rPr>
      <t>https://iati.fcdo.gov.uk/iati_documents/S40039931.pdf</t>
    </r>
    <r>
      <rPr>
        <rFont val="Calibri"/>
        <color theme="1"/>
        <sz val="11.0"/>
      </rPr>
      <t xml:space="preserve"> 
</t>
    </r>
    <r>
      <rPr>
        <rFont val="Calibri"/>
        <color rgb="FF1155CC"/>
        <sz val="11.0"/>
        <u/>
      </rPr>
      <t>https://www.e3s-conferences.org/articles/e3sconf/pdf/2023/105/e3sconf_icstugm2023_10001.pdf</t>
    </r>
    <r>
      <rPr>
        <rFont val="Calibri"/>
        <color theme="1"/>
        <sz val="11.0"/>
      </rPr>
      <t xml:space="preserve"> </t>
    </r>
  </si>
  <si>
    <t>Blended Finance Tools Description</t>
  </si>
  <si>
    <t xml:space="preserve">For a foundation acting as a catalytic capital provider, these six tools are sufficient, as they encompass the foundation's primary functions within blended finance: project preparation, bridging viability gaps, mitigating risk, assuming first-loss positions, providing concessional finance, and making results-based payments.                                </t>
  </si>
  <si>
    <t>Tool</t>
  </si>
  <si>
    <t>Best when</t>
  </si>
  <si>
    <t>Strengths</t>
  </si>
  <si>
    <t>Weaknesses</t>
  </si>
  <si>
    <t>Risk Assessment Methodologies</t>
  </si>
  <si>
    <t>Technical Assistance/Grants</t>
  </si>
  <si>
    <t>Technical assistance enhances investees' capacity and reduces transaction costs. Grants can also support early-stage project preparation, feasibility studies, and project development capital, for which no repayment is expected.</t>
  </si>
  <si>
    <t>High upfront costs, limited project readiness, weak sponsor capacity, or a need for early-stage project preparation before private investors can enter.</t>
  </si>
  <si>
    <t>- Strong fit for early-stage opportunities
- Improves project readiness and sponsor capacity
- Flexible and adaptable across sectors</t>
  </si>
  <si>
    <t>- Does not always mobilize capital quickly
- Financial impact is indirect at first
- Can be too soft if the real barrier is already beyond readiness</t>
  </si>
  <si>
    <t>1) Regulatory risk
 2) Expected loss</t>
  </si>
  <si>
    <t>Guarantee/Risk Sharing</t>
  </si>
  <si>
    <t>Guarantees provide protection against various forms of risk intended to prevent capital losses for investors. Risk-sharing arrangements can cover part of debt service, regulatory risk, off-taker risk, or losses across a portfolio of investments.</t>
  </si>
  <si>
    <t>Investor hesitation due to credit risk, off-taker risk, regulatory risk, currency risk, or other perceived risks that make the project less attractive.</t>
  </si>
  <si>
    <t>- Strong mobilization potential
- Can crowd in lenders effectively
- Targets risk perception directly</t>
  </si>
  <si>
    <t>- Poor fit if the project is still immature
- Can be over-engineered
- Requires clear governance, pricing, and claims discipline</t>
  </si>
  <si>
    <t>1) Expected loss</t>
  </si>
  <si>
    <t>First-Loss/Junior Capital</t>
  </si>
  <si>
    <t>First-loss or junior capital absorbs initial losses or ranks lower in repayment than senior investors. It can take the form of first-loss guarantees, subordinated debt, mezzanine finance, or junior equity, improving the risk-return profile for senior investors.</t>
  </si>
  <si>
    <t>Need for downside protection, especially in high-risk markets, new technologies, early-stage business models, or projects where crowding-in senior capital is difficult.</t>
  </si>
  <si>
    <t>- Strong risk absorption
- Can unlock more senior capital
- Useful for difficult blended structures</t>
  </si>
  <si>
    <t>- High risk for catalytic funders
- Can over-subsidize if the barrier diagnosis is wrong
- Structuring can be complex</t>
  </si>
  <si>
    <t>1) Expected loss
 2) Value-at-risk</t>
  </si>
  <si>
    <t>Concessional Loans</t>
  </si>
  <si>
    <t>Concessional loans provide money lent for repayment at a later date, usually with interest, but with favorable terms or rates for the borrower relative to market pricing. These may include below-market interest rates, longer tenors, grace periods, reduced collateral requirements, or deferrals.</t>
  </si>
  <si>
    <t>Projects requiring debt financing where market-rate capital is too expensive, available tenors are too short, or risk-adjusted returns are below commercial thresholds.</t>
  </si>
  <si>
    <t>- Helps improve financial viability
- Useful for affordability and tenor gaps
- Can support scale-up once a project is ready</t>
  </si>
  <si>
    <t>- Can distort markets if too concessional
- Needs strong discipline on subsidy sizing
- Not ideal if the real problem is still readiness</t>
  </si>
  <si>
    <t>1) Expected loss
 2) Discounted cash flow
 3) Public-private partnership risk allocation</t>
  </si>
  <si>
    <t>FX Risk Mitigation/Local Currency Facility</t>
  </si>
  <si>
    <t>FX risk mitigation protects investors or borrowers against foreign exchange risk. Instruments such as hedging, local currency financing support, or FX liquidity facilities help mitigate exchange-rate volatility and provide access to local or foreign currency during adverse currency movements.</t>
  </si>
  <si>
    <t>Borrowers earning revenue in local currency while financing is in hard currency, limited or costly hedging instruments, or exchange-rate volatility limiting private investment.</t>
  </si>
  <si>
    <t>- Highly targeted to FX barriers
- Protects borrowers and investors from volatility
- Can make otherwise viable deals financeable</t>
  </si>
  <si>
    <t>- Technical and potentially costly
- Does not solve the weak pipeline or poor governance
- May be unavailable in some markets</t>
  </si>
  <si>
    <t>1) Political Risk</t>
  </si>
  <si>
    <t>Outcome-Based Incentives</t>
  </si>
  <si>
    <t>Additional payments are made conditional on the achievement of key performance indicators. Financial incentives are paid out during a pre-agreed, time-bound period to a business that achieves predefined targets, including results-based financing or performance-based incentives.</t>
  </si>
  <si>
    <t>Clearly measurable and verifiable outcomes, especially where incentives are needed for businesses to pursue new business lines, extend services to underserved segments, or deliver social, environmental, or economic impact.</t>
  </si>
  <si>
    <t>- Strong accountability and measurement logic
- Useful for social systems and public-good outcomes
- Can align funding with verified results</t>
  </si>
  <si>
    <t>- Complex to structure
- Requires a credible evaluator and a clear outcome payer
- Often involves long time lags before outcomes are verified</t>
  </si>
  <si>
    <t>1) Rating agency methodologies</t>
  </si>
  <si>
    <t>Score Indicators</t>
  </si>
  <si>
    <t>The indicators are derived from OECD DAC Principle 2 and OECD guidance on evaluating blended finance instruments, mechanisms, and additionality. OECD identifies additionality, mobilisation, concessionality, and commercial sustainability as core concepts for designing blended finance. It also recommends identifying the financing gap, diagnosing the market failure, selecting the financial instrument while minimising concessionality, coordinating with the ecosystem, and monitoring development impact. Therefore, this framework translates those OECD concepts into seven practical screening indicators: barrier fit, mobilisation potential, financial additionality, development additionality, concessionality discipline, implementation feasibility, and impact measurability.</t>
  </si>
  <si>
    <t>Indicator</t>
  </si>
  <si>
    <t>Purposes</t>
  </si>
  <si>
    <t>Important Indicators for Blended Finance Instruments</t>
  </si>
  <si>
    <t>Guiding scoring question (1-10)</t>
  </si>
  <si>
    <t>Barrier fit</t>
  </si>
  <si>
    <t>Assesses whether the blended finance tool directly addresses the real barrier preventing private capital from entering. The barrier may be project readiness, weak bankability, high perceived risk, low return, affordability constraint, FX risk, information asymmetry, or lack of market track record.</t>
  </si>
  <si>
    <t>A good tool that targets the wrong barrier is still the wrong intervention.</t>
  </si>
  <si>
    <t>1. Technical Assistance/Grants
2. Guarantees/Risk Sharing
3. First-Loss/Junior Capital
4. FX Risk Mitigation/Local Currency Facility
5. Outcome-Based Incentives</t>
  </si>
  <si>
    <r>
      <rPr>
        <rFont val="Calibri"/>
        <i/>
        <color theme="1"/>
        <sz val="11.0"/>
      </rPr>
      <t xml:space="preserve">Does this tool directly address the diagnosed primary barrier?
</t>
    </r>
    <r>
      <rPr>
        <rFont val="Calibri"/>
        <color theme="1"/>
        <sz val="11.0"/>
      </rPr>
      <t>Identify the exact barrier: is it a readiness gap, viability gap, risk gap, tenor gap, currency gap, affordability gap, or outcome-payment gap? Then check whether the proposed tool solves that barrier.</t>
    </r>
  </si>
  <si>
    <t>https://www.oecd.org/content/dam/oecd/en/events/2022/5/cefim_blended-finance-guidance-for-clean-energy---2nd-workshop/Guidance-note-OECD-DAC-Principle-2.pdf</t>
  </si>
  <si>
    <t>Mobilization potential</t>
  </si>
  <si>
    <t>Assesses whether the tool can realistically crowd in commercial/private finance. This is not just about the highest leverage ratio, but whether the instrument can make private investors participate in this specific project context.</t>
  </si>
  <si>
    <t>Mobilisation is central to the rationale for blended finance.</t>
  </si>
  <si>
    <t>1. Guarantees/Risk Sharing
2. First-Loss/Junior Capital</t>
  </si>
  <si>
    <r>
      <rPr>
        <rFont val="Calibri"/>
        <i/>
        <color theme="1"/>
        <sz val="11.0"/>
      </rPr>
      <t xml:space="preserve">How strongly can this tool unlock additional private/commercial finance?
</t>
    </r>
    <r>
      <rPr>
        <rFont val="Calibri"/>
        <color theme="1"/>
        <sz val="11.0"/>
      </rPr>
      <t>Check expected private capital mobilized, type of investors likely to come in, timing of mobilization, and whether mobilization is direct and attributable to the blended finance tool.</t>
    </r>
  </si>
  <si>
    <t>https://www.oecd.org/content/dam/oecd/en/publications/reports/2021/08/evaluating-blended-finance-instruments-and-mechanisms_c995f112/f1574c10-en.pdf</t>
  </si>
  <si>
    <t>Financial additionality</t>
  </si>
  <si>
    <t>Assesses whether the project truly needs blended finance because commercial capital is unavailable, insufficient, too expensive, too short-term, or not available in the required currency or structure.</t>
  </si>
  <si>
    <t>Additionality is a core justification for using concessional or catalytic capital.</t>
  </si>
  <si>
    <t>1. Guarantees/Risk Sharing
2. First-Loss/Junior Capital
3. Concessional Loans
4. FX Risk Mitigation/Local Currency Facility</t>
  </si>
  <si>
    <r>
      <rPr>
        <rFont val="Calibri"/>
        <i/>
        <color theme="1"/>
        <sz val="11.0"/>
      </rPr>
      <t xml:space="preserve">Would the deal likely fail, shrink, or worsen without this tool?
</t>
    </r>
    <r>
      <rPr>
        <rFont val="Calibri"/>
        <color theme="1"/>
        <sz val="11.0"/>
      </rPr>
      <t>Can the project obtain financing from private markets on terms, amount, tenor, currency, or risk profile similar to those without foundation support? If yes, blended finance may not be justified.</t>
    </r>
  </si>
  <si>
    <t>https://www.oecd.org/content/dam/oecd/en/publications/reports/2021/02/evaluating-financial-and-development-additionality-in-blended-finance-operations_9940d03d/a13bf17d-en.pdf</t>
  </si>
  <si>
    <t>Development additionality</t>
  </si>
  <si>
    <t>Assesses whether the intervention creates development impact that would not happen without blended finance. This can include climate impact, inclusion, job creation, access to services, resilience, affordability, or market creation.</t>
  </si>
  <si>
    <t>Blended finance should improve development contribution, not only financial closure.</t>
  </si>
  <si>
    <t>1. Technical Assistance/Grants
2. Outcome-Based Incentives</t>
  </si>
  <si>
    <r>
      <rPr>
        <rFont val="Calibri"/>
        <i/>
        <color theme="1"/>
        <sz val="11.0"/>
      </rPr>
      <t xml:space="preserve">Does this tool increase the project’s development contribution beyond financing alone?
</t>
    </r>
    <r>
      <rPr>
        <rFont val="Calibri"/>
        <color theme="1"/>
        <sz val="11.0"/>
      </rPr>
      <t>Check the development objective, theory of change, target beneficiaries, expected outcomes, and whether the tool increases the scale, quality, speed, reach, or depth of impact.</t>
    </r>
  </si>
  <si>
    <t>Concessionality discipline</t>
  </si>
  <si>
    <t>Assesses whether the support is sufficiently concessional to unlock private capital, but not more concessional than necessary. It asks whether the subsidy is targeted, minimal, temporary, and justified by the barrier.</t>
  </si>
  <si>
    <t>OECD stresses minimizing concessionality and targeting market failure precisely.</t>
  </si>
  <si>
    <t>1. Guarantees/Risk Sharing
2. First-Loss/Junior Capital
3. Concessional Loans</t>
  </si>
  <si>
    <r>
      <rPr>
        <rFont val="Calibri"/>
        <i/>
        <color theme="1"/>
        <sz val="11.0"/>
      </rPr>
      <t xml:space="preserve">Is the subsidy proportionate and narrowly targeted to the market failure?
</t>
    </r>
    <r>
      <rPr>
        <rFont val="Calibri"/>
        <color theme="1"/>
        <sz val="11.0"/>
      </rPr>
      <t>Check the subsidy amount, pricing, tenor, guarantee coverage, first-loss amount, grant size, and whether there is a clear rationale for concessionality. Also, ask whether a less concessional tool could work.</t>
    </r>
  </si>
  <si>
    <t>Implementation feasibility</t>
  </si>
  <si>
    <t>Assesses whether the instrument can realistically be structured, governed, priced, monitored, and executed in the project’s context. This is especially important for complex tools such as guarantees, hedging, first-loss structures, and outcome-based incentives.</t>
  </si>
  <si>
    <t>A theoretically strong instrument may fail if it is too difficult to implement.</t>
  </si>
  <si>
    <t>1. Technical Assistance/Grants
2. Implementation Feasibility
3. FX Risk Mitigation/Local Currency Facility
4. Outcome-Based Incentives</t>
  </si>
  <si>
    <r>
      <rPr>
        <rFont val="Calibri"/>
        <i/>
        <color theme="1"/>
        <sz val="11.0"/>
      </rPr>
      <t xml:space="preserve">Can this tool be structured, approved, governed, and implemented in practice?
</t>
    </r>
    <r>
      <rPr>
        <rFont val="Calibri"/>
        <color theme="1"/>
        <sz val="11.0"/>
      </rPr>
      <t>Check whether there are capable implementing partners, legal enforceability, clear triggers, claims process, monitoring systems, data availability, governance, pricing ability, and institutional capacity.</t>
    </r>
  </si>
  <si>
    <t>Impact measurability</t>
  </si>
  <si>
    <t>Assesses whether the expected outcomes can be clearly measured, verified, and monitored. This is especially important for outcome-based incentives, grants, technical assistance, and projects claiming strong development additionality.</t>
  </si>
  <si>
    <t>Measurement credibility is critical for learning, accountability, and justification.</t>
  </si>
  <si>
    <r>
      <rPr>
        <rFont val="Calibri"/>
        <i/>
        <color theme="1"/>
        <sz val="11.0"/>
      </rPr>
      <t xml:space="preserve">Can outputs, outcomes, and downstream impacts be credibly measured?
</t>
    </r>
    <r>
      <rPr>
        <rFont val="Calibri"/>
        <color theme="1"/>
        <sz val="11.0"/>
      </rPr>
      <t>Check whether the project has measurable KPIs, baseline data, target values, verification method, reporting frequency, and a credible link between the intervention and the outcome.</t>
    </r>
  </si>
  <si>
    <t xml:space="preserve">Project-Level Financial Feasibility Summary </t>
  </si>
  <si>
    <t>Financial Feasibility Assessment</t>
  </si>
  <si>
    <t>CAPEX / Total Project Cost</t>
  </si>
  <si>
    <t>Fill in here. If not applicable, write "N/A"</t>
  </si>
  <si>
    <t>Committed Capital</t>
  </si>
  <si>
    <t>Funding Gap</t>
  </si>
  <si>
    <t>Revenue or Cost-Saving Source</t>
  </si>
  <si>
    <t>NPV</t>
  </si>
  <si>
    <t>IRR</t>
  </si>
  <si>
    <t>Payback Period</t>
  </si>
  <si>
    <t>DSCR</t>
  </si>
  <si>
    <t>Grant / Concessional Capital Required</t>
  </si>
  <si>
    <t>Capital Mobilization Ratio</t>
  </si>
  <si>
    <t>Financial Evidence Status</t>
  </si>
  <si>
    <t>Score System</t>
  </si>
  <si>
    <t>Score</t>
  </si>
  <si>
    <t>Label</t>
  </si>
  <si>
    <t>Definition</t>
  </si>
  <si>
    <t>Very poor fit</t>
  </si>
  <si>
    <t>Almost irrelevant on this indicator. The tool does not address the core need and is very unlikely to change the outcome materially.</t>
  </si>
  <si>
    <t>Poor fit</t>
  </si>
  <si>
    <t>There is a slight theoretical connection, but the contribution would be very small and the mismatch is clear.</t>
  </si>
  <si>
    <t>Weak</t>
  </si>
  <si>
    <t>There is limited relevance, but major weaknesses or trade-offs keep it below average.</t>
  </si>
  <si>
    <t>Somewhat weak</t>
  </si>
  <si>
    <t>It can play a partial role, but only for certain sub-problems and with real limitations.</t>
  </si>
  <si>
    <t>Moderate / neutral</t>
  </si>
  <si>
    <t>Reasonably suitable, but not distinctive. The tool could work, yet it has no clear advantage over alternatives.</t>
  </si>
  <si>
    <t>Moderately strong</t>
  </si>
  <si>
    <t>Relevant and useful on this indicator, although not yet among the standout options.</t>
  </si>
  <si>
    <t>Strong</t>
  </si>
  <si>
    <t>Clearly suitable and usually likely to work well in the relevant context.</t>
  </si>
  <si>
    <t>Very strong</t>
  </si>
  <si>
    <t>High fit with a clear advantage over many alternatives.</t>
  </si>
  <si>
    <t>Near-optimal</t>
  </si>
  <si>
    <t>Very close to best fit. Only minor caveats or implementation conditions remain.</t>
  </si>
  <si>
    <t>Near-ideal / best fit</t>
  </si>
  <si>
    <t>The best-fitting option on this indicator. The tool is highly aligned with project needs and there is almost no stronger alternative on this dimension.</t>
  </si>
  <si>
    <t>Notes:</t>
  </si>
  <si>
    <t>Score each indicator separately, rather than scoring a tool only at the overall level.</t>
  </si>
  <si>
    <t>A high score means stronger fit on a specific dimension; it does not mean the tool is always best in every context.</t>
  </si>
  <si>
    <t>Scores of 9-10 should be used sparingly and only with a strong justification.</t>
  </si>
  <si>
    <t>If the project’s actual solution is a combination of tools, score the tool that most closely represents the core function.</t>
  </si>
  <si>
    <t>Score Matrix</t>
  </si>
  <si>
    <t>Project summary</t>
  </si>
  <si>
    <t>A preventive long-term care initiative in Toyota City using a Social Impact Bond structure to reduce future LTC costs through social participation, measurable outcomes, and municipal implementation.</t>
  </si>
  <si>
    <t>Primary barrier</t>
  </si>
  <si>
    <t>Best-fitting tool</t>
  </si>
  <si>
    <t>Highest average score</t>
  </si>
  <si>
    <t>Interpretation note</t>
  </si>
  <si>
    <t>The highest-scoring row points to Outcome-based incentives. This is the best fit because the project is already designed as an SIB, and its core strength lies in result-based payment tied to verifiable outcomes. TA / project-preparation grants still matter as supporting tools, but they are not the core instrument.</t>
  </si>
  <si>
    <t>Results / impact measurability</t>
  </si>
  <si>
    <t>Average score</t>
  </si>
  <si>
    <t>Rank</t>
  </si>
  <si>
    <t>Scoring notes</t>
  </si>
  <si>
    <t>Useful for program design, capacity building, and evidence strengthening; but relatively weak for mobilizing private capital.</t>
  </si>
  <si>
    <t>Less suitable because the main barrier is not investor downside risk in a revenue-generating asset, but rather proving social outcomes and dealing with time lag.</t>
  </si>
  <si>
    <t>Less suitable; a first-loss structure is too heavy for a social prevention project that does not depend on project cash flow.</t>
  </si>
  <si>
    <t>Could help in a limited way with upfront cost support, but it is not well aligned with the project’s outcome-based logic.</t>
  </si>
  <si>
    <t>Almost irrelevant because the project is not driven by FX barriers or local-currency liabilities.</t>
  </si>
  <si>
    <t>Best fit: the project already uses a SIB, social outcomes and fiscal savings are verified, and result-based payment is the most aligned response to the problem.</t>
  </si>
  <si>
    <t>A mini-hydro power plant with its main barrier in commercial feasibility and bankability; the actual structure combines a viability-gap grant, PT SMI senior debt, and sponsor contribution.</t>
  </si>
  <si>
    <t>The highest-scoring row points to the Concessional loan. In the Pandanduri case, the buy-down/viability-gap grant is the tool that most closely reflects the actual catalytic function: closing the financial viability gap so that PT SMI debt can come in. A guarantee appears as a secondary option, but it is not the best-fitting core tool.</t>
  </si>
  <si>
    <t>Still useful for studies, structuring, and sponsor strengthening, but not the main response to an already clear viability gap.</t>
  </si>
  <si>
    <t>Quite strong because the project faces downside risk, delay risk, and bankability concerns; however, the actual case leans more toward a viability-gap grant than a pure guarantee.</t>
  </si>
  <si>
    <t>It could unlock senior capital, but it would likely be more complex and more over-engineered than the Pandanduri case actually needs.</t>
  </si>
  <si>
    <t>Best fit: the actual structure uses a viability-gap grant / buy-down + senior debt to close the financial viability gap and unlock PT SMI lending.</t>
  </si>
  <si>
    <t>There is secondary relevance if FX becomes an issue, but the case evidence suggests that this is not the primary barrier.</t>
  </si>
  <si>
    <t>Less suitable because this project mainly needs bankability support for energy infrastructure rather than payment tied to social outcomes.</t>
  </si>
  <si>
    <t>Toyota City</t>
  </si>
  <si>
    <t>Pandanduri</t>
  </si>
  <si>
    <t>N/A - use program budget / contract value</t>
  </si>
  <si>
    <t>IDR 17.3 bn implied</t>
  </si>
  <si>
    <t>Partial</t>
  </si>
  <si>
    <t>PT SMI loan IDR 9.6 bn + MENTARI grant IDR 2.6 bn + sponsor contribution approx. IDR 5.19 bn</t>
  </si>
  <si>
    <t>N/A - assess outcome payment / fiscal saving gap</t>
  </si>
  <si>
    <t>Commercial feasibility gap documented; exact residual gap should be confirmed</t>
  </si>
  <si>
    <t>Avoided long-term care cost / outcome-payment logic</t>
  </si>
  <si>
    <t>Electricity generation/offtake; tariff/PPA must be checked</t>
  </si>
  <si>
    <t>N/A - use avoided public cost proxy</t>
  </si>
  <si>
    <t>N/A - request project financial model</t>
  </si>
  <si>
    <t>N/A - use outcome-value proxy</t>
  </si>
  <si>
    <t>N/A - use outcome payment timing</t>
  </si>
  <si>
    <t>N/A - unless repayable capital is used</t>
  </si>
  <si>
    <t>N/A - request lender/project model</t>
  </si>
  <si>
    <t>Partial / only for replication, evaluation, or TA</t>
  </si>
  <si>
    <t>MENTARI VGF grant IDR 2.6 bn / approx. 15% of project cost</t>
  </si>
  <si>
    <t>N/A - use outcome/fiscal-savings mobilization proxy</t>
  </si>
  <si>
    <t>Approx. 3.7x debt mobilized per grant</t>
  </si>
  <si>
    <t>Partial: social finance proxy required</t>
  </si>
  <si>
    <t>Partial: funding structure available; full project model still required</t>
  </si>
  <si>
    <t>Global Expansion Option Description</t>
  </si>
  <si>
    <t>Best When</t>
  </si>
  <si>
    <t>Pros</t>
  </si>
  <si>
    <t>Cons</t>
  </si>
  <si>
    <t>Implementation Implication</t>
  </si>
  <si>
    <t>Deepen Local</t>
  </si>
  <si>
    <t>Enhance the capacity of existing local fiscal sponsors and help build regional fiscal sponsorship capability.</t>
  </si>
  <si>
    <t>A capable local partner already exists and RPA wants to strengthen legitimacy, ownership, and ecosystem depth in one geography.</t>
  </si>
  <si>
    <t>- Strongest local ownership where capable partners already exist
- Builds local legitimacy and ecosystem strength
- Good fit for community-based social programs</t>
  </si>
  <si>
    <t>- Depends on finding capable existing local sponsors
- Coverage may stay limited to one or a few jurisdictions</t>
  </si>
  <si>
    <t>Best suited to contexts where RPA wants to work through and strengthen existing local institutions rather than build new structures from scratch.</t>
  </si>
  <si>
    <t>Local Repurposing</t>
  </si>
  <si>
    <t>Support local re-granters to add or adapt fiscal sponsorship functions.</t>
  </si>
  <si>
    <t>Existing local institutions have adjacent capabilities that can be adapted into fiscal sponsorship or similar support functions.</t>
  </si>
  <si>
    <t>- Builds local capacity from existing institutions
- More local agency than a purely foreign-led model
- Can fit places with grantmaking actors, but weak sponsorship infrastructure</t>
  </si>
  <si>
    <t>- Takes time to adapt systems and governance
- May require talent development and process redesign
- Geographic coverage can remain limited</t>
  </si>
  <si>
    <t>Requires adaptation of existing systems, governance, and staffing, with moderate speed and moderate local ownership.</t>
  </si>
  <si>
    <t>New Build</t>
  </si>
  <si>
    <t>Create new fiscal sponsorship capacity from scratch in the target geography.</t>
  </si>
  <si>
    <t>RPA wants maximum control and long-term institution building, and can tolerate the highest setup time and cost.</t>
  </si>
  <si>
    <t>- Maximum control over mission design and local structure
- Strong long-term capacity-building potential
- Can be tailored to high-priority geographies</t>
  </si>
  <si>
    <t>- Slowest route to launch
- The highest cost and systems burden
- Hardest execution risk in legal, operational, and staffing terms</t>
  </si>
  <si>
    <t>Most suitable where long-term institution building is the priority and RPA has enough time, budget, and execution capacity.</t>
  </si>
  <si>
    <t>Local Hybrid</t>
  </si>
  <si>
    <t>Set up a local organization with local governance and regranting capability, while using RPA / fiscal-sponsor support contractually to accelerate execution.</t>
  </si>
  <si>
    <t>RPA wants stronger local legitimacy than a pure hybrid while still using its own support model to speed execution.</t>
  </si>
  <si>
    <t>- Balances local legitimacy with faster execution support
- Strong for knowledge transfer and institution building
- Closer to local communities than a pure external model</t>
  </si>
  <si>
    <t>- Still requires some local entity-building from scratch
- Not as fast or cheap as a pure hybrid
- Coverage may remain selective at first</t>
  </si>
  <si>
    <t>Useful when RPA needs a balance between local governance, speed, and practical operating support.</t>
  </si>
  <si>
    <t>Hybrid</t>
  </si>
  <si>
    <t>Operate through RPA's existing 501(c)(3) / external platform while adding local advisory and operational capacity in the target geography.</t>
  </si>
  <si>
    <t>RPA wants the fastest and most resource-efficient route to test or support a new geography while retaining some local advisory capacity.</t>
  </si>
  <si>
    <t>- Fastest practical launch route
- Lower setup cost and stronger resource efficiency
- Easier to scale across multiple places
- Useful when testing a new geography first</t>
  </si>
  <si>
    <t>- Weaker local ownership than locally anchored models
- Can create a Global North perception risk
- Requires deliberate safeguards to keep local leadership meaningful</t>
  </si>
  <si>
    <t>Most suitable for rapid market testing or multi-country expansion where speed and cost efficiency matter more than maximum local ownership.</t>
  </si>
  <si>
    <t>Speed</t>
  </si>
  <si>
    <t>How quickly the model can be launched, staffed, governed, and made operational.</t>
  </si>
  <si>
    <t>Entry speed matters when opportunities are time-sensitive or when RPA wants to test a market without long setup delays.</t>
  </si>
  <si>
    <t>How quickly could this model become operational in this country and for this project type?</t>
  </si>
  <si>
    <t>Cost</t>
  </si>
  <si>
    <t>Relative resource efficiency, including setup cost, operating cost, and infrastructure burden.</t>
  </si>
  <si>
    <t>A pathway can look attractive strategically but still be too expensive to build or run.</t>
  </si>
  <si>
    <t>How resource-efficient is this model relative to the value it could unlock here?</t>
  </si>
  <si>
    <t>Local Ownership</t>
  </si>
  <si>
    <t>Extent to which the model embeds local leadership, decision-making, legitimacy, and community agency.</t>
  </si>
  <si>
    <t>Locally anchored models usually matter more for trust, legitimacy, and long-term durability.</t>
  </si>
  <si>
    <t>How strongly would this model place leadership and decision-making in local hands?</t>
  </si>
  <si>
    <t>Scalability</t>
  </si>
  <si>
    <t>Potential to replicate, expand geographically, and operate across larger volumes or more jurisdictions.</t>
  </si>
  <si>
    <t>RPA may need a pathway that can move beyond a single pilot site or one relationship.</t>
  </si>
  <si>
    <t>How easily could this model expand beyond one initial geography or project?</t>
  </si>
  <si>
    <t>Capacity Building</t>
  </si>
  <si>
    <t>Ability of the model to strengthen local institutional capability, talent, and ecosystem development.</t>
  </si>
  <si>
    <t>A stronger model should leave behind local capability, not only deliver transactions.</t>
  </si>
  <si>
    <t>How much durable local institutional capacity would this model build?</t>
  </si>
  <si>
    <t>Regulatory Feasibility</t>
  </si>
  <si>
    <t>How workable the model is within legal, charitable, fiscal, and governance constraints in the target geography.</t>
  </si>
  <si>
    <t>Even a strong model can fail if the legal or operating pathway is too hard to execute.</t>
  </si>
  <si>
    <t>How feasible is this model under the country's legal, charitable, tax, and governance context?</t>
  </si>
  <si>
    <t>Regulatory Assessment</t>
  </si>
  <si>
    <t>Country / Project</t>
  </si>
  <si>
    <t>Regulatory assessment area</t>
  </si>
  <si>
    <t>Relevant regulation / authority</t>
  </si>
  <si>
    <t>Regulation No. / Year</t>
  </si>
  <si>
    <t>What RPA needs to check</t>
  </si>
  <si>
    <t>Why it matters for tool selection</t>
  </si>
  <si>
    <t>Tool implication</t>
  </si>
  <si>
    <t>Suggested RPA action</t>
  </si>
  <si>
    <t>Very poor fit on the indicator; major structural weakness.</t>
  </si>
  <si>
    <t>Only minimal strengths; severe limitations remain.</t>
  </si>
  <si>
    <t>Below-average performance with clear constraints.</t>
  </si>
  <si>
    <t>Some usefulness, but notable weaknesses reduce attractiveness.</t>
  </si>
  <si>
    <t>Middle-range position; neither clearly weak nor clearly strong.</t>
  </si>
  <si>
    <t>Useful and workable, though not yet a leading option.</t>
  </si>
  <si>
    <t>Strong performance on the criterion in most practical cases.</t>
  </si>
  <si>
    <t>Highly attractive position with clear comparative advantage.</t>
  </si>
  <si>
    <t>One of the strongest options on this criterion.</t>
  </si>
  <si>
    <t>Top-end performance; benchmark position within the option set.</t>
  </si>
  <si>
    <t>Local Hybrid is the best-fit model because it has the highest score and balances local trust with RPA support. The project depends on municipal legitimacy and local delivery partners, so a fully external model would be less suitable. RPA can add value by strengthening outcome measurement, financing design, and scaling capacity without replacing local ownership.</t>
  </si>
  <si>
    <t>Strong local legitimacy and institutional fit for municipal ageing work, but dependent on finding capable existing Japanese partners and not easy to scale quickly across cities.</t>
  </si>
  <si>
    <t>Can build local capability through existing grantmaking or intermediary actors, but adaptation into full fiscal-sponsorship functions would take time and governance work.</t>
  </si>
  <si>
    <t>Best for long-term institution building, but the slowest and most resource-intensive route for entering a highly regulated, trust-based social-sector context like Japan.</t>
  </si>
  <si>
    <t>Best balance for Japan: local governance and legitimacy remain strong, while RPA support can accelerate setup, evaluation discipline, and operating design for preventive-care work.</t>
  </si>
  <si>
    <t>Fast and cost-efficient, but weaker on local legitimacy for a publicly sensitive ageing-care model that relies on municipal trust, local delivery relationships, and domestic buy-in.</t>
  </si>
  <si>
    <t>Good for local legitimacy and ecosystem-building if a capable Indonesian intermediary already exists, but speed and coverage are limited for infrastructure-oriented pipeline building.</t>
  </si>
  <si>
    <t>Could adapt existing local grant or regrant actors, but this is still a relatively slow route for a project class that needs faster deal support and multi-stakeholder coordination.</t>
  </si>
  <si>
    <t>Most ambitious long-term capacity option, but too slow and expensive for entering a market where practical execution and cross-project scalability matter immediately.</t>
  </si>
  <si>
    <t>A credible middle path: stronger local legitimacy than a pure hybrid, with better institutional learning; still slower and costlier than operating through an existing RPA platform.</t>
  </si>
  <si>
    <t>Best fit for Indonesia: fastest and most resource-efficient way to test and support a broader infrastructure / blended-finance pipeline, while adding local advisory and operational capacity to manage legitimacy.</t>
  </si>
  <si>
    <t>Source URL</t>
  </si>
  <si>
    <t>Japan / Toyota City</t>
  </si>
  <si>
    <t>Market exploration vs local operating presence</t>
  </si>
  <si>
    <t>Business presence rules for representative office / branch / subsidiary</t>
  </si>
  <si>
    <t>Companies Act, Article 818; JETRO guidance</t>
  </si>
  <si>
    <t>Whether RPA is only researching/convening or will sign continuous local contracts / operate programs directly.</t>
  </si>
  <si>
    <t>Entity requirements determine whether RPA can enter lightly through partners or needs a registered presence.</t>
  </si>
  <si>
    <t>Hybrid / local-partner route is easier at first; direct operating model needs more legal setup.</t>
  </si>
  <si>
    <t>Start through local intermediary or municipal/implementation partner; avoid direct operating commitments until entity pathway is clear.</t>
  </si>
  <si>
    <t>https://www.jetro.go.jp/en/invest/setting_up/section1/page1.html</t>
  </si>
  <si>
    <t>Staffing and local management</t>
  </si>
  <si>
    <t>Business Manager residence status / immigration requirements</t>
  </si>
  <si>
    <t>Immigration Services Agency / JETRO guidance</t>
  </si>
  <si>
    <t>Whether RPA will place foreign staff in Japan to manage the program or office.</t>
  </si>
  <si>
    <t>If RPA staffs Japan directly, immigration and office-premise requirements affect feasibility and timing.</t>
  </si>
  <si>
    <t>Deepen Local / Local Hybrid is easier than New Build if speed matters.</t>
  </si>
  <si>
    <t>Use local partners first; assess visa, office, and staffing requirements only if direct presence becomes necessary.</t>
  </si>
  <si>
    <t>https://www.jetro.go.jp/en/invest/setting_up/qa.html</t>
  </si>
  <si>
    <t>Grant / TA through local partners</t>
  </si>
  <si>
    <t>Recipient-status and donation treatment rules</t>
  </si>
  <si>
    <t>JETRO guidance; National Tax Agency donation rules</t>
  </si>
  <si>
    <t>Whether the Japanese partner is a qualified recipient and whether grants/TA are best routed through a local entity.</t>
  </si>
  <si>
    <t>Grant feasibility depends on recipient eligibility, tax treatment, and contracting structure.</t>
  </si>
  <si>
    <t>TA/grants can support replication and evaluation, but should be routed through qualified local partners.</t>
  </si>
  <si>
    <t>Check partner legal status before grant agreement; use local fiscal/intermediary partner where efficient.</t>
  </si>
  <si>
    <t>Equity / fund participation</t>
  </si>
  <si>
    <t>Foreign investment screening</t>
  </si>
  <si>
    <t>Foreign Exchange and Foreign Trade Act (FEFTA); MOF / Bank of Japan filing framework</t>
  </si>
  <si>
    <t>Whether RPA takes equity, joins a fund, or invests in a designated business sector.</t>
  </si>
  <si>
    <t>If RPA moves beyond grants/TA into investment or fund participation, screening requirements may apply.</t>
  </si>
  <si>
    <t>Outcome-funder / grant / TA role is simpler than direct equity or first-loss fund role.</t>
  </si>
  <si>
    <t>If considering fund participation, conduct FEFTA screening transaction by transaction with local counsel.</t>
  </si>
  <si>
    <t>https://www.mof.go.jp/english/policy/international_policy/fdi/Overview/outline1.pdf</t>
  </si>
  <si>
    <t>Beneficiary / health / care data</t>
  </si>
  <si>
    <t>Personal data protection</t>
  </si>
  <si>
    <t>Act on the Protection of Personal Information (APPI)</t>
  </si>
  <si>
    <t>How participant, health, care, or evaluation data will be collected, shared, and used.</t>
  </si>
  <si>
    <t>Outcome-based incentives depend on credible measurement; data rules determine whether impact verification is feasible.</t>
  </si>
  <si>
    <t>SIB / outcome-based finance is feasible only if data-sharing and evaluator access are properly structured.</t>
  </si>
  <si>
    <t>Build data-sharing, consent, anonymization, and evaluator access clauses into the project design.</t>
  </si>
  <si>
    <t>https://www.japaneselawtranslation.go.jp/en/laws/view/4241/en</t>
  </si>
  <si>
    <t>Indonesia / Pandanduri</t>
  </si>
  <si>
    <t>Funding through PT SMI or local intermediary</t>
  </si>
  <si>
    <t>OSS risk-based licensing framework</t>
  </si>
  <si>
    <t>Government Regulation No. 28 of 2025</t>
  </si>
  <si>
    <t>Whether RPA only funds/advises through PT SMI/local partner or directly operates in Indonesia.</t>
  </si>
  <si>
    <t>Partner-mediated grant/TA has lighter regulatory burden than direct operation.</t>
  </si>
  <si>
    <t>Catalytic grant / TA through PT SMI or local intermediary is likely more feasible than direct lending/operation.</t>
  </si>
  <si>
    <t>Use PT SMI or similar platform as implementation/intermediation channel; avoid direct project operation unless necessary.</t>
  </si>
  <si>
    <t>https://jdih-storage.bkpm.go.id/jdih/jdih/2025PP28Eng-.pdf</t>
  </si>
  <si>
    <t>Representative office / foreign presence</t>
  </si>
  <si>
    <t>Representative office and OSS licensing administration</t>
  </si>
  <si>
    <t>Minister of Investment and Downstreaming Regulation No. 5 of 2025</t>
  </si>
  <si>
    <t>Whether RPA needs a KPPA/representative office, NIB, or other OSS registration.</t>
  </si>
  <si>
    <t>Entry model affects setup time, cost, governance, and ability to contract locally.</t>
  </si>
  <si>
    <t>Hybrid / Local Hybrid is faster; New Build requires heavier OSS and entity setup.</t>
  </si>
  <si>
    <t>If RPA needs in-country presence, map OSS/NIB/KPPA requirements before choosing the expansion model.</t>
  </si>
  <si>
    <t>https://jdih-storage.bkpm.go.id/jdih/jdih/2025Permeninvest005Eng-.pdf</t>
  </si>
  <si>
    <t>Direct investment or project operation</t>
  </si>
  <si>
    <t>Risk-based licensing plus sector screening</t>
  </si>
  <si>
    <t>Whether the relevant business field is open, conditional, reserved, or subject to partnership requirements.</t>
  </si>
  <si>
    <t>If RPA directly invests/operates, sector licensing and openness may constrain the tool.</t>
  </si>
  <si>
    <t>Direct concessional loan, guarantee, or equity role requires more legal diligence; grant/TA through platform is simpler.</t>
  </si>
  <si>
    <t>Keep RPA role catalytic unless direct investment is legally and strategically justified.</t>
  </si>
  <si>
    <t>Environmental and operational compliance</t>
  </si>
  <si>
    <t>Environmental and operational compliance through OSS</t>
  </si>
  <si>
    <t>Whether project vehicles need UKL-UPL, SPPL/SPLL, or other environmental compliance submissions.</t>
  </si>
  <si>
    <t>Energy/infrastructure projects may face operational and environmental conditions that affect bankability and timelines.</t>
  </si>
  <si>
    <t>TA can be important for permitting and compliance readiness; VGF/concessional finance should not bypass compliance risk.</t>
  </si>
  <si>
    <t>Require evidence of environmental and operational compliance before disbursement or financial close support.</t>
  </si>
  <si>
    <t>https://www.oecd.org/content/dam/oecd/en/publications/reports/2018/01/making-blended-finance-work-for-the-sustainable-development-goals_g1g88c68/9789264288768-en.pdf</t>
  </si>
  <si>
    <t>https://www.ifc.org/content/dam/ifc/doc/2025/role-of-blended-finance-in-an-evolving-global-context.pdf</t>
  </si>
  <si>
    <t>https://www.oecd.org/content/dam/oecd/en/publications/reports/2025/09/oecd-dac-blended-finance-guidance-2025_8ea42fde/e4a13d2c-en.pdf</t>
  </si>
  <si>
    <t>http://ssrn.com/abstract_id=4770779</t>
  </si>
  <si>
    <t>https://www.msci-institute.com/wp-content/uploads/2024/10/TMP-Caroline-Flammer-transcript.pdf</t>
  </si>
  <si>
    <t>https://www.convergence.finance/api/file/e83c0b3ce24e6d07281a4e6fcc8a5516:dc71e6c934fe938f6ff10c1ca73084acba7d1db08eec25042abd5eeda5c7f3aab3171bb67e4e8d237ba934309dbc25ad356afe0d8e6e39d95181107b74722b5bf7c8b53e0c6e3f7aefb6b2ff99a31dc1e538d80375e375f120a6be6bbd50f250dc0eb4719d3d8b0fc04bf97a566c23cc82ca6f3c2984fa22aabb13adf4b213dc09bbcb1dd42a4859ec716d2ffa1b6172659ef318e9ec1b0def8818eb4b50d270</t>
  </si>
  <si>
    <t>https://www.hhs.se/globalassets/swedish-house-of-finance/conference/annual-conference-2025/presentations/2.-keynote-shof_blended-finance_flammer_09182025.pdf</t>
  </si>
  <si>
    <t>https://www3.weforum.org/docs/WEF_Blended_Finance_A_Primer_Development_Finance_Philanthropic_Funders.pdf</t>
  </si>
  <si>
    <t>https://www.nber.org/system/files/working_papers/w32287/w32287.pdf</t>
  </si>
  <si>
    <t>https://media.unesco.org/sites/default/files/webform/gec003/blended-finance.pdf</t>
  </si>
  <si>
    <t>https://www.unepfi.org/wordpress/wp-content/uploads/2021/12/NZAOA_Scaling-Blended-Finance.pdf</t>
  </si>
  <si>
    <t>https://pubs.aeaweb.org/doi/pdfplus/10.1257/pandp.20251072</t>
  </si>
  <si>
    <t>https://www.lacaisse.com/sites/default/files/medias/pdf/en/Blended_Finance_Booklet_Climate_Week2024.pdf</t>
  </si>
  <si>
    <t>https://filantropi.or.id/en/repository/philanthropy-outlook-2024/</t>
  </si>
  <si>
    <t>https://doi.org/10.1787/e4a13d2c-en</t>
  </si>
  <si>
    <t>https://jdih.komdigi.go.id/produk_hukum/view/id/832/t/undangundang%2Bnomor%2B27%2Btahun%2B2022</t>
  </si>
  <si>
    <t>https://www.oecd.org/content/dam/oecd/en/publications/reports/2021/06/the-role-of-guarantees-in-blended-finance_cef700a2/730e1498-en.pdf</t>
  </si>
  <si>
    <t>https://www.oecd.org/content/dam/oecd/en/publications/reports/2025/02/unlocking-local-currency-financing-in-emerging-markets-and-developing-economies_af15df6a/bc84fde7-en.pdf</t>
  </si>
  <si>
    <t>https://www.stat.go.jp/english/data/jinsui/2023np/index.html</t>
  </si>
  <si>
    <t>https://www.mhlw.go.jp/content/10807000/001303599.pdf</t>
  </si>
  <si>
    <t>https://www.city.toyota.aichi.jp/_res/projects/default_project/page/001/044/582/r0604/01.pdf</t>
  </si>
  <si>
    <t>https://www.oecd.org/content/dam/oecd/en/publications/reports/2025/07/health-at-a-glance-2023_39bcb58d/japan_0b0de6bb/1b4f5f1d-en.pdf</t>
  </si>
  <si>
    <t>https://www.oecd.org/content/dam/oecd/en/publications/reports/2024/01/oecd-economic-surveys-japan-2024_9289b572/41e807f9-en.pdf</t>
  </si>
  <si>
    <t>https://www.mhlw.go.jp/content/10500000/000591805.pdf</t>
  </si>
  <si>
    <t>https://ember-energy.org/latest-insights/indonesias-expansion-of-clean-power-can-spur-growth-and-equality/</t>
  </si>
  <si>
    <t>https://www.esdm.go.id/en/media-center/news-archives/bigger-share-given-to-renewables-in-2021-2030-electricity-procurement-plan</t>
  </si>
  <si>
    <t>https://www.ptsmi.co.id/statement-on-climate-change-issue</t>
  </si>
  <si>
    <t>https://www.ptsmi.co.id/cfind/source/files/sustainable-funding/sustainalytics-second-party-opinion-on-pt-smis-sustainable-funding-framework.pdf</t>
  </si>
  <si>
    <t>https://www.ptsmi.co.id/uk-climate-minister-reviews-pandanduri-micro-hydroelectric-power-plant-appreciates-collaboration-with-pt-smi</t>
  </si>
  <si>
    <t>https://www.flashlombok.com/2025/04/18/pltmh-pandan-duri-diresmikan-dukung-proses-transisi-energi/</t>
  </si>
  <si>
    <t>https://mentari.info/2023/03/29/uk-government-to-provide-idr-21-billion-through-mentari-programme-for-a-blended-finance-vehicle-with-pt-smi-to-three-hydropower-plants-in-indonesia/</t>
  </si>
  <si>
    <t>https://www.dreamincubator.co.jp/wp-content/uploads/2021/01/210105_SIB_DI_Toyotacity_EN01.pdf</t>
  </si>
  <si>
    <t>https://www.city.toyota.aichi.jp/_res/projects/default_project/page/001/054/238/r0710/01.pdf</t>
  </si>
  <si>
    <t>https://www.ptsmi.co.id/cfind/source/files/annual-report/annual-report-pt-smi-2024.pdf</t>
  </si>
  <si>
    <t>https://www.thkforum.org/wp-content/uploads/2025/07/Delano-Delo-250620-Tri-Hita-Kirana-GBFA-PT-SMI_s-Role-in-Supporting-the-Energy-Transition-in-Indonesia-CLEAN.pdf</t>
  </si>
  <si>
    <t>https://iati.fcdo.gov.uk/iati_documents/S40039931.pdf</t>
  </si>
  <si>
    <t>https://www.e3s-conferences.org/articles/e3sconf/pdf/2023/105/e3sconf_icstugm2023_10001.pdf</t>
  </si>
  <si>
    <t xml:space="preserve">https://www.city.toyota.aichi.jp/res/projects/default_project/page/001/058/887/02.pdf </t>
  </si>
  <si>
    <t xml:space="preserve">https://www.clair.or.jp/j/library/docs/2021he-toyota.pdf </t>
  </si>
  <si>
    <t xml:space="preserve">https://www.dreamincubator.com/sea/the-zutto-genki-project-a-500-million-healthy-ageing-social-impact-bond-in-toyota-city </t>
  </si>
  <si>
    <t xml:space="preserve">https://www.esdm.go.id/assets/media/content/content-handbook-of-energy-and-economic-statistics-of-indonesia-2024.pdf </t>
  </si>
  <si>
    <t xml:space="preserve">https://www.esdm.go.id/en/berita-unit/directorate-general-of-electricity/ruptl-2021-2030-diterbitkan-porsi-ebt-diperbesar </t>
  </si>
  <si>
    <t xml:space="preserve">https://web.pln.co.id/statics/uploads/2025/06/b967d-ruptl-pln-2025-2034-pub-.pdf </t>
  </si>
  <si>
    <t>https://energyandcleanair.org/wp/wp-content/uploads/2025/09/CREA_EN-IDN-Briefing-Indonesias-RUPTL-2025-2034-Fossils-first-renewables-later.pdf</t>
  </si>
  <si>
    <t>Complete Blended Finance Instruments Description from Commercial and Development Actors</t>
  </si>
  <si>
    <t>Instruments</t>
  </si>
  <si>
    <t>Specific Instrument Type</t>
  </si>
  <si>
    <t>Grants</t>
  </si>
  <si>
    <t>Technical Assistance</t>
  </si>
  <si>
    <t>To supplement the capacity of investees and lower transaction costs.</t>
  </si>
  <si>
    <t>1. Early-stage project preparation
2. De-risking investments in start-ups/new technologies
3. Viability gap payments to public goods
4. De-risking investments in high-risk geographies, e.g. LDCs, FCS</t>
  </si>
  <si>
    <t>https://www.oecd.org/content/dam/oecd/en/events/2022/5/cefim_blended-finance-guidance-for-clean-energy---2nd-workshop/Guidance-note-OECD-DAC-Principle-2.pdf
https://www3.weforum.org/docs/WEF_Blended_Finance_A_Primer_Development_Finance_Philanthropic_Funders.pdf
https://www.oecd.org/content/dam/oecd/en/publications/reports/2025/09/oecd-dac-blended-finance-guidance-2025_8ea42fde/e4a13d2c-en.pdf 
https://www.ifc.org/content/dam/ifc/doc/2025/role-of-blended-finance-in-an-evolving-global-context.pdf
https://www.nber.org/system/files/working_papers/w32287/w32287.pdf</t>
  </si>
  <si>
    <t>Viability Gap Funding</t>
  </si>
  <si>
    <t xml:space="preserve">Cover a gap in cost, or between expected financial returns to investors and the actual rate of return, defined at the early stage of a project.
</t>
  </si>
  <si>
    <t>Performance-based Incentives</t>
  </si>
  <si>
    <t>Additional payments are made conditional on the achievement of key performance indicators. Financial incentives are paid out during a pre-agreed, time-bound period to a business that achieves predefined targets, including results-based financing, offtake guarantees contingent on performance, and/or guaranteed payments in exchange for upfront financing in new or distressed markets.</t>
  </si>
  <si>
    <t>Interest Rate Buy-downs</t>
  </si>
  <si>
    <t>Reduces the loan rate, lowering borrowing costs. These upfront payments are subject to a business reaching performance targets set at the outset.</t>
  </si>
  <si>
    <t>Guarantees</t>
  </si>
  <si>
    <t>First Loss Guarantees</t>
  </si>
  <si>
    <t>First-loss guarantees are a powerful mobilization tool for facilitating local-currency financing. The guarantee provider assumes the loss first and is subordinated in the distribution of recovery proceeds, with recovery proceeds allocated first to senior lenders, then to the guarantor. They de-risk investments by absorbing initial losses, reducing perceived risks, and enhancing project attractiveness, especially in volatile markets where local currency is most needed. As evidenced by Principle 2, guarantees have proven to be among the most successful instruments for mobilizing private capital across years and sectors.</t>
  </si>
  <si>
    <t>1. Partial risk guarantee covering regulatory and off-taker risk in the power sector 
2. Guarantees covering losses from foreign exchange risk in markets where no hedging instruments are available 
3. Guarantees covering local currency loans 
4. Guarantees for underserved population groups, e.g. women, youth 
5. Insurance products for smallholder farmers with affordability constraints</t>
  </si>
  <si>
    <r>
      <rPr>
        <rFont val="Calibri"/>
        <color theme="1"/>
        <sz val="11.0"/>
      </rPr>
      <t xml:space="preserve">https://www.oecd.org/content/dam/oecd/en/publications/reports/2025/02/unlocking-local-currency-financing-in-emerging-markets-and-developing-economies_af15df6a/bc84fde7-en.pdf
</t>
    </r>
    <r>
      <rPr>
        <rFont val="Calibri"/>
        <color rgb="FF1155CC"/>
        <sz val="11.0"/>
        <u/>
      </rPr>
      <t>https://www3.weforum.org/docs/WEF_Blended_Finance_A_Primer_Development_Finance_Philanthropic_Funders.pdf
https://www.nber.org/system/files/working_papers/w32287/w32287.pdf
https://www.oecd.org/content/dam/oecd/en/publications/reports/2025/09/oecd-dac-blended-finance-guidance-2025_8ea42fde/e4a13d2c-en.pdf</t>
    </r>
    <r>
      <rPr>
        <rFont val="Calibri"/>
        <color theme="1"/>
        <sz val="11.0"/>
      </rPr>
      <t xml:space="preserve"> 
</t>
    </r>
    <r>
      <rPr>
        <rFont val="Calibri"/>
        <color rgb="FF1155CC"/>
        <sz val="11.0"/>
        <u/>
      </rPr>
      <t>https://www.ifc.org/content/dam/ifc/doc/2025/role-of-blended-finance-in-an-evolving-global-context.pdf</t>
    </r>
  </si>
  <si>
    <t>Partial Credit Guarantee</t>
  </si>
  <si>
    <t>Covers a portion of debt service in case of default.</t>
  </si>
  <si>
    <t>Hedging</t>
  </si>
  <si>
    <t>Hedging protects investors against foreign exchange risk and helps attract private capital. Instruments such as non-deliverable cross-currency swaps and forward contracts allow development finance actors to lend in hard currency while providing borrowers with local currency funding. Hedging can be effective for short-term FX risk mitigation, especially in the SME and microfinance sectors, where maturities are shorter. However, it may be inaccessible, unsuitable, or too costly for long-term projects such as private equity or infrastructure with maturities of 15-20 years or more. In high-risk sectors and geographies, hedging may require higher concessionality, including grants or other support tools, as shown by IFC local-currency blended finance projects, which had an average concessionality of 11% of total project costs between 2010 and 2020, compared to the portfolio average of 4.8%.</t>
  </si>
  <si>
    <t>Foreign Exchange Liquidity Facilities</t>
  </si>
  <si>
    <t>FX liquidity facilities increase borrowers’ access to local-currency financing by helping mitigate exchange-rate volatility. They can provide temporary access to foreign currency, enabling borrowers to meet debt obligations during adverse currency movements. Donors and development finance providers can use existing capital market infrastructure to mobilize global capital while supporting local currency solutions. For example, the Eco Invest Brazil program is being financed through blended finance solutions, including an FX liquidity facility, with support from the UK Foreign, Commonwealth &amp; Development Office.</t>
  </si>
  <si>
    <t>Liquidity Support Guarantee</t>
  </si>
  <si>
    <t>Provides short-term liquidity to a project or company in case of temporary cash flow issues.</t>
  </si>
  <si>
    <t>Debt</t>
  </si>
  <si>
    <t>Senior/Concessional Loan</t>
  </si>
  <si>
    <t>Loans provided at below-market interest rates, concessional, to reduce the cost of the financing package for the client/business and end beneficiary. Senior loans can also have structural enhancements such as deferral mechanisms or longer tenors/grace periods.</t>
  </si>
  <si>
    <t>1. Direct investment of long-term senior or subordinated debt in high-risk markets or sectors 
2. Credit lines to financial institutions at maturities and terms not provided by the market for on-lending to underserved sectors, e.g. agriculture, or population groups, e.g. women 
3. Debt investment to sectors with affordability constraints, e.g. social housing 
4. Funded construction take-out facility for commercial banks</t>
  </si>
  <si>
    <r>
      <rPr>
        <rFont val="Calibri"/>
        <color rgb="FF0000FF"/>
        <sz val="11.0"/>
        <u/>
      </rPr>
      <t xml:space="preserve">https://www3.weforum.org/docs/WEF_Blended_Finance_A_Primer_Development_Finance_Philanthropic_Funders.pdf
</t>
    </r>
    <r>
      <rPr>
        <rFont val="Calibri"/>
        <color rgb="FF1155CC"/>
        <sz val="11.0"/>
        <u/>
      </rPr>
      <t>https://www.nber.org/system/files/working_papers/w32287/w32287.pdf
https://www.oecd.org/content/dam/oecd/en/publications/reports/2025/09/oecd-dac-blended-finance-guidance-2025_8ea42fde/e4a13d2c-en.pdf</t>
    </r>
    <r>
      <rPr>
        <rFont val="Calibri"/>
        <sz val="11.0"/>
      </rPr>
      <t xml:space="preserve"> </t>
    </r>
  </si>
  <si>
    <t>Subordinated Loan</t>
  </si>
  <si>
    <t>Loans that rank lower in repayment and/or in liquidation than senior debt.</t>
  </si>
  <si>
    <t>Mezzanine Loan</t>
  </si>
  <si>
    <t>Hybrid of debt and equity.</t>
  </si>
  <si>
    <t>Syndicated Loans/Bonds</t>
  </si>
  <si>
    <t xml:space="preserve">Syndication mobilises private finance by strengthening investors' confidence in projects or companies, often alongside MDBs/DFIs and facilitates sharing of due diligence knowledge and eases the transaction for the B-lenders. </t>
  </si>
  <si>
    <t>Equity</t>
  </si>
  <si>
    <t>Junior Equity</t>
  </si>
  <si>
    <t>Accepts higher risk for lower financial returns in exchange for social, environmental and economic impact, typically in a position to take the first losses. Subordinated equity provides a first-loss cushion by being repaid after senior equity.</t>
  </si>
  <si>
    <t>1. Direct investment as venture capital or private equity into first movers, technology and/or markets 
2. Equity investment during the construction phase 
3. Equity investment to sectors with imperfect information, e.g. SMEs</t>
  </si>
  <si>
    <r>
      <rPr>
        <rFont val="Calibri"/>
        <color rgb="FF0000FF"/>
        <sz val="11.0"/>
        <u/>
      </rPr>
      <t xml:space="preserve">https://www3.weforum.org/docs/WEF_Blended_Finance_A_Primer_Development_Finance_Philanthropic_Funders.pdf
</t>
    </r>
    <r>
      <rPr>
        <rFont val="Calibri"/>
        <color rgb="FF1155CC"/>
        <sz val="11.0"/>
        <u/>
      </rPr>
      <t>https://www.nber.org/system/files/working_papers/w32287/w32287.pdf
https://www.oecd.org/content/dam/oecd/en/publications/reports/2025/09/oecd-dac-blended-finance-guidance-2025_8ea42fde/e4a13d2c-en.pdf</t>
    </r>
    <r>
      <rPr>
        <rFont val="Calibri"/>
        <sz val="11.0"/>
      </rPr>
      <t xml:space="preserve"> </t>
    </r>
  </si>
  <si>
    <t>Senior Equity</t>
  </si>
  <si>
    <t>Equity investments with preferential rights to returns over junior equity.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</si>
</sst>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0">
    <font>
      <sz val="11.0"/>
      <color theme="1"/>
      <name val="Calibri"/>
      <scheme val="minor"/>
    </font>
    <font>
      <b/>
      <sz val="11.0"/>
      <color theme="0"/>
      <name val="Calibri"/>
    </font>
    <font>
      <sz val="11.0"/>
      <color theme="1"/>
      <name val="Calibri"/>
    </font>
    <font>
      <b/>
      <sz val="11.0"/>
      <color theme="1"/>
      <name val="Calibri"/>
    </font>
    <font>
      <color theme="1"/>
      <name val="Calibri"/>
      <scheme val="minor"/>
    </font>
    <font>
      <b/>
      <sz val="14.0"/>
      <color theme="1"/>
      <name val="Calibri"/>
    </font>
    <font>
      <sz val="11.0"/>
      <color rgb="FF000000"/>
      <name val="Calibri"/>
    </font>
    <font>
      <b/>
      <sz val="11.0"/>
      <color rgb="FF000000"/>
      <name val="Calibri"/>
    </font>
    <font/>
    <font>
      <b/>
      <sz val="11.0"/>
      <color rgb="FF632423"/>
      <name val="Calibri"/>
    </font>
    <font>
      <i/>
      <sz val="11.0"/>
      <color rgb="FF7F7F7F"/>
      <name val="Calibri"/>
    </font>
    <font>
      <u/>
      <sz val="11.0"/>
      <color theme="1"/>
      <name val="Calibri"/>
    </font>
    <font>
      <u/>
      <sz val="11.0"/>
      <color rgb="FF000000"/>
      <name val="Calibri"/>
    </font>
    <font>
      <u/>
      <sz val="11.0"/>
      <color rgb="FF0000FF"/>
      <name val="Calibri"/>
    </font>
    <font>
      <u/>
      <sz val="11.0"/>
      <color rgb="FF0000FF"/>
      <name val="Calibri"/>
    </font>
    <font>
      <u/>
      <sz val="11.0"/>
      <color rgb="FF000000"/>
      <name val="Calibri"/>
    </font>
    <font>
      <u/>
      <sz val="11.0"/>
      <color theme="1"/>
      <name val="Calibri"/>
    </font>
    <font>
      <u/>
      <sz val="11.0"/>
      <color theme="1"/>
      <name val="Calibri"/>
    </font>
    <font>
      <b/>
      <sz val="11.0"/>
      <color rgb="FF1F1F1F"/>
      <name val="Calibri"/>
    </font>
    <font>
      <u/>
      <sz val="11.0"/>
      <color rgb="FF0000FF"/>
      <name val="Calibri"/>
    </font>
    <font>
      <b/>
      <sz val="13.0"/>
      <color rgb="FFFFFFFF"/>
      <name val="Calibri"/>
    </font>
    <font>
      <b/>
      <sz val="13.0"/>
      <color theme="1"/>
      <name val="Calibri"/>
    </font>
    <font>
      <b/>
      <color theme="1"/>
      <name val="Calibri"/>
      <scheme val="minor"/>
    </font>
    <font>
      <i/>
      <sz val="11.0"/>
      <color rgb="FF999999"/>
      <name val="Calibri"/>
    </font>
    <font>
      <color rgb="FF000000"/>
      <name val="Calibri"/>
      <scheme val="minor"/>
    </font>
    <font>
      <b/>
      <sz val="16.0"/>
      <color rgb="FF1F3A5F"/>
      <name val="Calibri"/>
    </font>
    <font>
      <b/>
      <sz val="10.0"/>
      <color theme="1"/>
      <name val="Calibri"/>
    </font>
    <font>
      <b/>
      <sz val="11.0"/>
      <color rgb="FF1F3A5F"/>
      <name val="Calibri"/>
    </font>
    <font>
      <sz val="10.0"/>
      <color theme="1"/>
      <name val="Calibri"/>
    </font>
    <font>
      <sz val="11.0"/>
      <color rgb="FF1F1F1F"/>
      <name val="Calibri"/>
    </font>
    <font>
      <b/>
      <sz val="10.0"/>
      <color rgb="FF1F1F1F"/>
      <name val="Calibri"/>
    </font>
    <font>
      <sz val="10.0"/>
      <color rgb="FF1F1F1F"/>
      <name val="Calibri"/>
    </font>
    <font>
      <b/>
      <sz val="11.0"/>
      <color rgb="FFFFFFFF"/>
      <name val="Calibri"/>
    </font>
    <font>
      <u/>
      <sz val="11.0"/>
      <color rgb="FF0000FF"/>
      <name val="Calibri"/>
    </font>
    <font>
      <sz val="11.0"/>
      <color theme="0"/>
      <name val="Calibri"/>
    </font>
    <font>
      <u/>
      <color rgb="FF0000FF"/>
    </font>
    <font>
      <u/>
      <color rgb="FF0000FF"/>
    </font>
    <font>
      <u/>
      <sz val="11.0"/>
      <color rgb="FF000000"/>
      <name val="Calibri"/>
    </font>
    <font>
      <u/>
      <sz val="11.0"/>
      <color theme="1"/>
      <name val="Calibri"/>
    </font>
    <font>
      <u/>
      <sz val="11.0"/>
      <color rgb="FF0000FF"/>
      <name val="Calibri"/>
    </font>
  </fonts>
  <fills count="16">
    <fill>
      <patternFill patternType="none"/>
    </fill>
    <fill>
      <patternFill patternType="lightGray"/>
    </fill>
    <fill>
      <patternFill patternType="solid">
        <fgColor theme="5"/>
        <bgColor theme="5"/>
      </patternFill>
    </fill>
    <fill>
      <patternFill patternType="solid">
        <fgColor rgb="FFFDE9D9"/>
        <bgColor rgb="FFFDE9D9"/>
      </patternFill>
    </fill>
    <fill>
      <patternFill patternType="solid">
        <fgColor rgb="FFDAEEF3"/>
        <bgColor rgb="FFDAEEF3"/>
      </patternFill>
    </fill>
    <fill>
      <patternFill patternType="solid">
        <fgColor rgb="FFE5DFEC"/>
        <bgColor rgb="FFE5DFEC"/>
      </patternFill>
    </fill>
    <fill>
      <patternFill patternType="solid">
        <fgColor rgb="FFEAF1DD"/>
        <bgColor rgb="FFEAF1DD"/>
      </patternFill>
    </fill>
    <fill>
      <patternFill patternType="solid">
        <fgColor rgb="FFF2DBDB"/>
        <bgColor rgb="FFF2DBDB"/>
      </patternFill>
    </fill>
    <fill>
      <patternFill patternType="solid">
        <fgColor rgb="FFEEECE1"/>
        <bgColor rgb="FFEEECE1"/>
      </patternFill>
    </fill>
    <fill>
      <patternFill patternType="solid">
        <fgColor rgb="FF1F4E78"/>
        <bgColor rgb="FF1F4E78"/>
      </patternFill>
    </fill>
    <fill>
      <patternFill patternType="solid">
        <fgColor rgb="FFCCCCCC"/>
        <bgColor rgb="FFCCCCCC"/>
      </patternFill>
    </fill>
    <fill>
      <patternFill patternType="solid">
        <fgColor rgb="FFD9EAF7"/>
        <bgColor rgb="FFD9EAF7"/>
      </patternFill>
    </fill>
    <fill>
      <patternFill patternType="solid">
        <fgColor rgb="FFFFFFFF"/>
        <bgColor rgb="FFFFFFFF"/>
      </patternFill>
    </fill>
    <fill>
      <patternFill patternType="solid">
        <fgColor rgb="FF0F766E"/>
        <bgColor rgb="FF0F766E"/>
      </patternFill>
    </fill>
    <fill>
      <patternFill patternType="solid">
        <fgColor rgb="FF134E4A"/>
        <bgColor rgb="FF134E4A"/>
      </patternFill>
    </fill>
    <fill>
      <patternFill patternType="solid">
        <fgColor rgb="FFFBFBFB"/>
        <bgColor rgb="FFFBFBFB"/>
      </patternFill>
    </fill>
  </fills>
  <borders count="37">
    <border/>
    <border>
      <left/>
      <right/>
      <top/>
      <bottom/>
    </border>
    <border>
      <left/>
      <right style="thin">
        <color rgb="FF000000"/>
      </right>
      <top/>
      <bottom/>
    </border>
    <border>
      <bottom/>
    </border>
    <border>
      <right/>
      <bottom/>
    </border>
    <border>
      <bottom style="thin">
        <color rgb="FF938953"/>
      </bottom>
    </border>
    <border>
      <top style="thin">
        <color rgb="FF938953"/>
      </top>
      <bottom style="thin">
        <color rgb="FF938953"/>
      </bottom>
    </border>
    <border>
      <top style="thin">
        <color rgb="FF938953"/>
      </top>
      <bottom style="medium">
        <color theme="1"/>
      </bottom>
    </border>
    <border>
      <right style="thin">
        <color theme="0"/>
      </right>
      <top style="thin">
        <color rgb="FF938953"/>
      </top>
      <bottom style="medium">
        <color theme="1"/>
      </bottom>
    </border>
    <border>
      <right style="thin">
        <color rgb="FFFFFFFF"/>
      </right>
      <bottom style="thin">
        <color rgb="FF000000"/>
      </bottom>
    </border>
    <border>
      <bottom style="thin">
        <color rgb="FF000000"/>
      </bottom>
    </border>
    <border>
      <left style="thin">
        <color theme="0"/>
      </left>
      <right style="thin">
        <color theme="0"/>
      </right>
      <bottom style="medium">
        <color theme="1"/>
      </bottom>
    </border>
    <border>
      <left style="thin">
        <color theme="0"/>
      </left>
      <bottom style="medium">
        <color theme="1"/>
      </bottom>
    </border>
    <border>
      <left style="thin">
        <color rgb="FFEEECE1"/>
      </left>
      <right style="thin">
        <color rgb="FFEEECE1"/>
      </right>
      <top style="thin">
        <color rgb="FFEEECE1"/>
      </top>
      <bottom style="thin">
        <color rgb="FFEEECE1"/>
      </bottom>
    </border>
    <border>
      <left style="thin">
        <color rgb="FFEEECE1"/>
      </left>
      <right style="thin">
        <color rgb="FFEEECE1"/>
      </right>
      <top/>
      <bottom/>
    </border>
    <border>
      <left style="thin">
        <color rgb="FFD9D9D9"/>
      </left>
      <right style="thin">
        <color rgb="FFD9D9D9"/>
      </right>
      <bottom style="thin">
        <color rgb="FFD9D9D9"/>
      </bottom>
    </border>
    <border>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EEECE1"/>
      </left>
      <right style="thin">
        <color rgb="FFEEECE1"/>
      </right>
      <top style="thin">
        <color rgb="FFEEECE1"/>
      </top>
    </border>
    <border>
      <right style="thin">
        <color rgb="FFEEECE1"/>
      </right>
      <top style="thin">
        <color rgb="FFEEECE1"/>
      </top>
    </border>
    <border>
      <left style="thin">
        <color rgb="FF9A9A9A"/>
      </left>
      <right style="thin">
        <color rgb="FF9A9A9A"/>
      </right>
      <top style="thin">
        <color rgb="FF9A9A9A"/>
      </top>
      <bottom style="thin">
        <color rgb="FF9A9A9A"/>
      </bottom>
    </border>
    <border>
      <left style="thin">
        <color rgb="FFBFBFBF"/>
      </left>
      <right style="thin">
        <color rgb="FFBFBFBF"/>
      </right>
      <top style="thin">
        <color rgb="FFBFBFBF"/>
      </top>
      <bottom style="thin">
        <color rgb="FFBFBFBF"/>
      </bottom>
    </border>
    <border>
      <left style="thin">
        <color rgb="FFB7C3D0"/>
      </left>
      <right style="thin">
        <color rgb="FFB7C3D0"/>
      </right>
      <top style="thin">
        <color rgb="FFB7C3D0"/>
      </top>
      <bottom style="thin">
        <color rgb="FFB7C3D0"/>
      </bottom>
    </border>
    <border>
      <left style="thin">
        <color rgb="FF6FA8DC"/>
      </left>
      <right style="thin">
        <color rgb="FF6FA8DC"/>
      </right>
      <top style="thin">
        <color rgb="FF6FA8DC"/>
      </top>
      <bottom style="thin">
        <color rgb="FF6FA8DC"/>
      </bottom>
    </border>
    <border>
      <left/>
      <top/>
      <bottom/>
    </border>
    <border>
      <top/>
      <bottom/>
    </border>
    <border>
      <right/>
      <top/>
      <bottom/>
    </border>
    <border>
      <bottom style="thin">
        <color rgb="FFA5A5A5"/>
      </bottom>
    </border>
    <border>
      <top style="thin">
        <color rgb="FFA5A5A5"/>
      </top>
      <bottom style="thin">
        <color rgb="FFA5A5A5"/>
      </bottom>
    </border>
    <border>
      <bottom style="thin">
        <color rgb="FFBFBFBF"/>
      </bottom>
    </border>
    <border>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rder>
    <border>
      <left style="thin">
        <color rgb="FFB7C3D0"/>
      </left>
      <right style="thin">
        <color rgb="FFB7C3D0"/>
      </right>
      <top style="thin">
        <color rgb="FFB7C3D0"/>
      </top>
    </border>
    <border>
      <left style="thin">
        <color rgb="FFB7C3D0"/>
      </left>
      <top style="thin">
        <color rgb="FFB7C3D0"/>
      </top>
      <bottom style="thin">
        <color rgb="FFB7C3D0"/>
      </bottom>
    </border>
    <border>
      <left style="thin">
        <color rgb="FFBFBFBF"/>
      </left>
      <right style="thin">
        <color rgb="FFBFBFBF"/>
      </right>
    </border>
    <border>
      <left style="thin">
        <color rgb="FFBFBFBF"/>
      </left>
      <right style="thin">
        <color rgb="FFBFBFBF"/>
      </right>
      <bottom style="thin">
        <color rgb="FFBFBFBF"/>
      </bottom>
    </border>
  </borders>
  <cellStyleXfs count="1">
    <xf borderId="0" fillId="0" fontId="0" numFmtId="0" applyAlignment="1" applyFont="1"/>
  </cellStyleXfs>
  <cellXfs count="209">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2" fontId="2" numFmtId="0" xfId="0" applyBorder="1" applyFont="1"/>
    <xf borderId="0" fillId="0" fontId="2" numFmtId="0" xfId="0" applyAlignment="1" applyFont="1">
      <alignment horizontal="left" vertical="top"/>
    </xf>
    <xf borderId="0" fillId="0" fontId="3" numFmtId="0" xfId="0" applyAlignment="1" applyFont="1">
      <alignment horizontal="left" vertical="top"/>
    </xf>
    <xf borderId="2" fillId="3" fontId="2" numFmtId="0" xfId="0" applyBorder="1" applyFill="1" applyFont="1"/>
    <xf borderId="1" fillId="3" fontId="2" numFmtId="0" xfId="0" applyAlignment="1" applyBorder="1" applyFont="1">
      <alignment readingOrder="0"/>
    </xf>
    <xf borderId="1" fillId="3" fontId="2" numFmtId="0" xfId="0" applyBorder="1" applyFont="1"/>
    <xf borderId="2" fillId="4" fontId="2" numFmtId="0" xfId="0" applyBorder="1" applyFill="1" applyFont="1"/>
    <xf borderId="1" fillId="4" fontId="2" numFmtId="0" xfId="0" applyBorder="1" applyFont="1"/>
    <xf borderId="2" fillId="5" fontId="2" numFmtId="0" xfId="0" applyBorder="1" applyFill="1" applyFont="1"/>
    <xf borderId="1" fillId="5" fontId="2" numFmtId="0" xfId="0" applyBorder="1" applyFont="1"/>
    <xf borderId="2" fillId="6" fontId="2" numFmtId="0" xfId="0" applyBorder="1" applyFill="1" applyFont="1"/>
    <xf borderId="1" fillId="6" fontId="2" numFmtId="0" xfId="0" applyAlignment="1" applyBorder="1" applyFont="1">
      <alignment readingOrder="0"/>
    </xf>
    <xf borderId="1" fillId="6" fontId="2" numFmtId="0" xfId="0" applyBorder="1" applyFont="1"/>
    <xf borderId="2" fillId="7" fontId="2" numFmtId="0" xfId="0" applyBorder="1" applyFill="1" applyFont="1"/>
    <xf borderId="1" fillId="7" fontId="2" numFmtId="0" xfId="0" applyBorder="1" applyFont="1"/>
    <xf borderId="0" fillId="0" fontId="4" numFmtId="0" xfId="0" applyAlignment="1" applyFont="1">
      <alignment readingOrder="0"/>
    </xf>
    <xf borderId="2" fillId="3" fontId="5" numFmtId="0" xfId="0" applyBorder="1" applyFont="1"/>
    <xf borderId="0" fillId="0" fontId="6"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7" numFmtId="0" xfId="0" applyAlignment="1" applyFont="1">
      <alignment horizontal="right" readingOrder="0" shrinkToFit="0" vertical="top" wrapText="0"/>
    </xf>
    <xf borderId="0" fillId="0" fontId="7" numFmtId="0" xfId="0" applyAlignment="1" applyFont="1">
      <alignment horizontal="left" readingOrder="0" vertical="top"/>
    </xf>
    <xf borderId="0" fillId="0" fontId="3" numFmtId="0" xfId="0" applyAlignment="1" applyFont="1">
      <alignment horizontal="left" shrinkToFit="0" vertical="top" wrapText="1"/>
    </xf>
    <xf borderId="0" fillId="0" fontId="7" numFmtId="0" xfId="0" applyAlignment="1" applyFont="1">
      <alignment readingOrder="0" shrinkToFit="0" vertical="bottom" wrapText="0"/>
    </xf>
    <xf borderId="0" fillId="0" fontId="6" numFmtId="0" xfId="0" applyAlignment="1" applyFont="1">
      <alignment shrinkToFit="0" vertical="bottom" wrapText="0"/>
    </xf>
    <xf borderId="0" fillId="0" fontId="6" numFmtId="0" xfId="0" applyAlignment="1" applyFont="1">
      <alignment horizontal="left" readingOrder="0" vertical="top"/>
    </xf>
    <xf borderId="0" fillId="0" fontId="2" numFmtId="0" xfId="0" applyAlignment="1" applyFont="1">
      <alignment horizontal="left" readingOrder="0" shrinkToFit="0" vertical="top" wrapText="1"/>
    </xf>
    <xf borderId="3" fillId="8" fontId="7" numFmtId="0" xfId="0" applyAlignment="1" applyBorder="1" applyFill="1" applyFont="1">
      <alignment horizontal="left" readingOrder="0" shrinkToFit="0" vertical="top" wrapText="0"/>
    </xf>
    <xf borderId="4" fillId="0" fontId="8" numFmtId="0" xfId="0" applyBorder="1" applyFont="1"/>
    <xf borderId="0" fillId="8" fontId="7" numFmtId="0" xfId="0" applyAlignment="1" applyFont="1">
      <alignment readingOrder="0" shrinkToFit="0" vertical="top" wrapText="0"/>
    </xf>
    <xf borderId="0" fillId="8" fontId="6" numFmtId="0" xfId="0" applyAlignment="1" applyFont="1">
      <alignment shrinkToFit="0" vertical="bottom" wrapText="0"/>
    </xf>
    <xf borderId="1" fillId="8" fontId="2" numFmtId="0" xfId="0" applyBorder="1" applyFont="1"/>
    <xf borderId="5" fillId="0" fontId="6" numFmtId="0" xfId="0" applyAlignment="1" applyBorder="1" applyFont="1">
      <alignment horizontal="left" readingOrder="0" shrinkToFit="0" vertical="bottom" wrapText="0"/>
    </xf>
    <xf borderId="5" fillId="0" fontId="8" numFmtId="0" xfId="0" applyBorder="1" applyFont="1"/>
    <xf borderId="5" fillId="0" fontId="6" numFmtId="0" xfId="0" applyAlignment="1" applyBorder="1" applyFont="1">
      <alignment readingOrder="0" shrinkToFit="0" vertical="bottom" wrapText="0"/>
    </xf>
    <xf borderId="5" fillId="0" fontId="6" numFmtId="0" xfId="0" applyAlignment="1" applyBorder="1" applyFont="1">
      <alignment shrinkToFit="0" vertical="bottom" wrapText="0"/>
    </xf>
    <xf borderId="5" fillId="0" fontId="2" numFmtId="0" xfId="0" applyBorder="1" applyFont="1"/>
    <xf borderId="0" fillId="0" fontId="3" numFmtId="0" xfId="0" applyAlignment="1" applyFont="1">
      <alignment shrinkToFit="0" vertical="top" wrapText="1"/>
    </xf>
    <xf borderId="6" fillId="0" fontId="6" numFmtId="0" xfId="0" applyAlignment="1" applyBorder="1" applyFont="1">
      <alignment horizontal="left" readingOrder="0" shrinkToFit="0" vertical="top" wrapText="0"/>
    </xf>
    <xf borderId="6" fillId="0" fontId="8" numFmtId="0" xfId="0" applyBorder="1" applyFont="1"/>
    <xf borderId="6" fillId="0" fontId="6" numFmtId="0" xfId="0" applyAlignment="1" applyBorder="1" applyFont="1">
      <alignment readingOrder="0" shrinkToFit="0" vertical="bottom" wrapText="0"/>
    </xf>
    <xf borderId="6" fillId="0" fontId="2" numFmtId="0" xfId="0" applyBorder="1" applyFont="1"/>
    <xf borderId="0" fillId="0" fontId="3" numFmtId="0" xfId="0" applyFont="1"/>
    <xf borderId="6" fillId="0" fontId="6" numFmtId="0" xfId="0" applyAlignment="1" applyBorder="1" applyFont="1">
      <alignment horizontal="left" readingOrder="0" vertical="top"/>
    </xf>
    <xf borderId="6" fillId="0" fontId="2" numFmtId="0" xfId="0" applyAlignment="1" applyBorder="1" applyFont="1">
      <alignment horizontal="left" shrinkToFit="0" vertical="top" wrapText="1"/>
    </xf>
    <xf borderId="7" fillId="0" fontId="6" numFmtId="0" xfId="0" applyAlignment="1" applyBorder="1" applyFont="1">
      <alignment horizontal="left" readingOrder="0" shrinkToFit="0" vertical="top" wrapText="0"/>
    </xf>
    <xf borderId="8" fillId="0" fontId="8" numFmtId="0" xfId="0" applyBorder="1" applyFont="1"/>
    <xf borderId="9" fillId="0" fontId="6" numFmtId="0" xfId="0" applyAlignment="1" applyBorder="1" applyFont="1">
      <alignment readingOrder="0" shrinkToFit="0" vertical="bottom" wrapText="0"/>
    </xf>
    <xf borderId="9" fillId="0" fontId="6" numFmtId="0" xfId="0" applyAlignment="1" applyBorder="1" applyFont="1">
      <alignment shrinkToFit="0" vertical="bottom" wrapText="0"/>
    </xf>
    <xf borderId="10" fillId="0" fontId="6" numFmtId="0" xfId="0" applyAlignment="1" applyBorder="1" applyFont="1">
      <alignment shrinkToFit="0" vertical="bottom" wrapText="0"/>
    </xf>
    <xf borderId="11" fillId="0" fontId="2" numFmtId="0" xfId="0" applyBorder="1" applyFont="1"/>
    <xf borderId="12" fillId="0" fontId="2" numFmtId="0" xfId="0" applyBorder="1" applyFont="1"/>
    <xf borderId="1" fillId="8" fontId="5" numFmtId="0" xfId="0" applyBorder="1" applyFont="1"/>
    <xf borderId="13" fillId="8" fontId="9" numFmtId="0" xfId="0" applyAlignment="1" applyBorder="1" applyFont="1">
      <alignment horizontal="center" vertical="top"/>
    </xf>
    <xf borderId="13" fillId="8" fontId="9" numFmtId="0" xfId="0" applyAlignment="1" applyBorder="1" applyFont="1">
      <alignment horizontal="center" readingOrder="0" shrinkToFit="0" vertical="top" wrapText="0"/>
    </xf>
    <xf borderId="13" fillId="8" fontId="9" numFmtId="0" xfId="0" applyAlignment="1" applyBorder="1" applyFont="1">
      <alignment horizontal="center" readingOrder="0" vertical="top"/>
    </xf>
    <xf borderId="14" fillId="8" fontId="9" numFmtId="0" xfId="0" applyAlignment="1" applyBorder="1" applyFont="1">
      <alignment horizontal="center" vertical="top"/>
    </xf>
    <xf borderId="13" fillId="8" fontId="10" numFmtId="0" xfId="0" applyAlignment="1" applyBorder="1" applyFont="1">
      <alignment horizontal="left" shrinkToFit="0" vertical="top" wrapText="1"/>
    </xf>
    <xf borderId="13" fillId="8" fontId="10" numFmtId="0" xfId="0" applyAlignment="1" applyBorder="1" applyFont="1">
      <alignment readingOrder="0" vertical="top"/>
    </xf>
    <xf borderId="13" fillId="8" fontId="10" numFmtId="0" xfId="0" applyAlignment="1" applyBorder="1" applyFont="1">
      <alignment horizontal="left" readingOrder="0" vertical="top"/>
    </xf>
    <xf borderId="13" fillId="8" fontId="10" numFmtId="0" xfId="0" applyAlignment="1" applyBorder="1" applyFont="1">
      <alignment shrinkToFit="0" vertical="top" wrapText="1"/>
    </xf>
    <xf borderId="13" fillId="8" fontId="10" numFmtId="0" xfId="0" applyAlignment="1" applyBorder="1" applyFont="1">
      <alignment readingOrder="0" shrinkToFit="0" vertical="top" wrapText="1"/>
    </xf>
    <xf borderId="1" fillId="8" fontId="10" numFmtId="0" xfId="0" applyAlignment="1" applyBorder="1" applyFont="1">
      <alignment shrinkToFit="0" vertical="top" wrapText="1"/>
    </xf>
    <xf borderId="13" fillId="0" fontId="2" numFmtId="0" xfId="0" applyAlignment="1" applyBorder="1" applyFont="1">
      <alignment horizontal="left" vertical="top"/>
    </xf>
    <xf borderId="13" fillId="0" fontId="6" numFmtId="0" xfId="0" applyAlignment="1" applyBorder="1" applyFont="1">
      <alignment horizontal="left" readingOrder="0" shrinkToFit="0" vertical="top" wrapText="0"/>
    </xf>
    <xf quotePrefix="1" borderId="13" fillId="0" fontId="2" numFmtId="0" xfId="0" applyAlignment="1" applyBorder="1" applyFont="1">
      <alignment horizontal="left" shrinkToFit="0" vertical="top" wrapText="1"/>
    </xf>
    <xf borderId="13" fillId="0" fontId="2" numFmtId="0" xfId="0" applyAlignment="1" applyBorder="1" applyFont="1">
      <alignment horizontal="left" readingOrder="0" shrinkToFit="0" vertical="top" wrapText="1"/>
    </xf>
    <xf quotePrefix="1" borderId="13" fillId="0" fontId="2" numFmtId="0" xfId="0" applyAlignment="1" applyBorder="1" applyFont="1">
      <alignment horizontal="left" readingOrder="0" shrinkToFit="0" vertical="top" wrapText="1"/>
    </xf>
    <xf borderId="13" fillId="0" fontId="11" numFmtId="0" xfId="0" applyAlignment="1" applyBorder="1" applyFont="1">
      <alignment horizontal="left" readingOrder="0" shrinkToFit="0" vertical="top" wrapText="1"/>
    </xf>
    <xf borderId="13" fillId="0" fontId="6" numFmtId="0" xfId="0" applyAlignment="1" applyBorder="1" applyFont="1">
      <alignment horizontal="left" shrinkToFit="0" vertical="top" wrapText="0"/>
    </xf>
    <xf borderId="2" fillId="4" fontId="5" numFmtId="0" xfId="0" applyBorder="1" applyFont="1"/>
    <xf borderId="0" fillId="0" fontId="2" numFmtId="0" xfId="0" applyAlignment="1" applyFont="1">
      <alignment shrinkToFit="0" wrapText="1"/>
    </xf>
    <xf borderId="0" fillId="0" fontId="2" numFmtId="0" xfId="0" applyFont="1"/>
    <xf borderId="13" fillId="8" fontId="9" numFmtId="0" xfId="0" applyAlignment="1" applyBorder="1" applyFont="1">
      <alignment horizontal="center" readingOrder="0" shrinkToFit="0" vertical="top" wrapText="1"/>
    </xf>
    <xf borderId="0" fillId="8" fontId="10" numFmtId="0" xfId="0" applyAlignment="1" applyFont="1">
      <alignment horizontal="left" readingOrder="0" shrinkToFit="0" vertical="top" wrapText="1"/>
    </xf>
    <xf borderId="13" fillId="8" fontId="10" numFmtId="0" xfId="0" applyAlignment="1" applyBorder="1" applyFont="1">
      <alignment readingOrder="0" shrinkToFit="0" vertical="top" wrapText="1"/>
    </xf>
    <xf borderId="15" fillId="0" fontId="6" numFmtId="0" xfId="0" applyAlignment="1" applyBorder="1" applyFont="1">
      <alignment horizontal="left" readingOrder="0" shrinkToFit="0" vertical="top" wrapText="1"/>
    </xf>
    <xf borderId="16" fillId="0" fontId="6" numFmtId="0" xfId="0" applyAlignment="1" applyBorder="1" applyFont="1">
      <alignment horizontal="left" readingOrder="0" shrinkToFit="0" vertical="top" wrapText="1"/>
    </xf>
    <xf borderId="16" fillId="0" fontId="12" numFmtId="0" xfId="0" applyAlignment="1" applyBorder="1" applyFont="1">
      <alignment horizontal="left" readingOrder="0" shrinkToFit="0" vertical="top" wrapText="1"/>
    </xf>
    <xf borderId="17" fillId="0" fontId="6" numFmtId="0" xfId="0" applyAlignment="1" applyBorder="1" applyFont="1">
      <alignment horizontal="left" readingOrder="0" shrinkToFit="0" vertical="top" wrapText="1"/>
    </xf>
    <xf borderId="17" fillId="0" fontId="13" numFmtId="0" xfId="0" applyAlignment="1" applyBorder="1" applyFont="1">
      <alignment horizontal="left" readingOrder="0" shrinkToFit="0" vertical="top" wrapText="1"/>
    </xf>
    <xf borderId="17" fillId="0" fontId="14" numFmtId="0" xfId="0" applyAlignment="1" applyBorder="1" applyFont="1">
      <alignment horizontal="left" readingOrder="0" shrinkToFit="0" vertical="top" wrapText="1"/>
    </xf>
    <xf borderId="17" fillId="0" fontId="15" numFmtId="0" xfId="0" applyAlignment="1" applyBorder="1" applyFont="1">
      <alignment horizontal="left" readingOrder="0" shrinkToFit="0" vertical="top" wrapText="1"/>
    </xf>
    <xf borderId="2" fillId="5" fontId="5" numFmtId="0" xfId="0" applyBorder="1" applyFont="1"/>
    <xf borderId="1" fillId="5" fontId="5" numFmtId="0" xfId="0" applyBorder="1" applyFont="1"/>
    <xf borderId="1" fillId="5" fontId="3" numFmtId="0" xfId="0" applyBorder="1" applyFont="1"/>
    <xf borderId="0" fillId="0" fontId="2" numFmtId="0" xfId="0" applyAlignment="1" applyFont="1">
      <alignment readingOrder="0" shrinkToFit="0" wrapText="1"/>
    </xf>
    <xf borderId="0" fillId="0" fontId="5" numFmtId="0" xfId="0" applyFont="1"/>
    <xf borderId="1" fillId="8" fontId="3" numFmtId="0" xfId="0" applyBorder="1" applyFont="1"/>
    <xf borderId="18" fillId="8" fontId="7" numFmtId="0" xfId="0" applyAlignment="1" applyBorder="1" applyFont="1">
      <alignment horizontal="center" readingOrder="0" shrinkToFit="0" wrapText="1"/>
    </xf>
    <xf borderId="19" fillId="8" fontId="7" numFmtId="0" xfId="0" applyAlignment="1" applyBorder="1" applyFont="1">
      <alignment horizontal="center" readingOrder="0" shrinkToFit="0" wrapText="1"/>
    </xf>
    <xf borderId="5" fillId="0" fontId="6" numFmtId="0" xfId="0" applyAlignment="1" applyBorder="1" applyFont="1">
      <alignment horizontal="left" readingOrder="0" shrinkToFit="0" vertical="top" wrapText="1"/>
    </xf>
    <xf borderId="13" fillId="8" fontId="9" numFmtId="0" xfId="0" applyAlignment="1" applyBorder="1" applyFont="1">
      <alignment horizontal="center" shrinkToFit="0" vertical="center" wrapText="1"/>
    </xf>
    <xf borderId="13" fillId="8" fontId="9" numFmtId="0" xfId="0" applyAlignment="1" applyBorder="1" applyFont="1">
      <alignment horizontal="center" readingOrder="0" shrinkToFit="0" vertical="center" wrapText="1"/>
    </xf>
    <xf borderId="13" fillId="8" fontId="9" numFmtId="0" xfId="0" applyAlignment="1" applyBorder="1" applyFont="1">
      <alignment horizontal="center" shrinkToFit="0" vertical="top" wrapText="1"/>
    </xf>
    <xf borderId="1" fillId="8" fontId="10" numFmtId="0" xfId="0" applyAlignment="1" applyBorder="1" applyFont="1">
      <alignment horizontal="left" shrinkToFit="0" vertical="top" wrapText="1"/>
    </xf>
    <xf borderId="1" fillId="8" fontId="10" numFmtId="0" xfId="0" applyAlignment="1" applyBorder="1" applyFont="1">
      <alignment horizontal="left" readingOrder="0" shrinkToFit="0" vertical="top" wrapText="1"/>
    </xf>
    <xf borderId="13" fillId="0" fontId="7" numFmtId="0" xfId="0" applyAlignment="1" applyBorder="1" applyFont="1">
      <alignment horizontal="left" shrinkToFit="0" vertical="top" wrapText="1"/>
    </xf>
    <xf borderId="13" fillId="0" fontId="6" numFmtId="0" xfId="0" applyAlignment="1" applyBorder="1" applyFont="1">
      <alignment horizontal="left" readingOrder="0" shrinkToFit="0" vertical="top" wrapText="1"/>
    </xf>
    <xf borderId="15" fillId="0" fontId="16" numFmtId="0" xfId="0" applyAlignment="1" applyBorder="1" applyFont="1">
      <alignment horizontal="left" readingOrder="0" shrinkToFit="0" vertical="top" wrapText="1"/>
    </xf>
    <xf borderId="13" fillId="0" fontId="3" numFmtId="0" xfId="0" applyAlignment="1" applyBorder="1" applyFont="1">
      <alignment horizontal="left" readingOrder="0" shrinkToFit="0" vertical="top" wrapText="1"/>
    </xf>
    <xf borderId="20" fillId="0" fontId="6" numFmtId="0" xfId="0" applyAlignment="1" applyBorder="1" applyFont="1">
      <alignment readingOrder="0" shrinkToFit="0" vertical="top" wrapText="1"/>
    </xf>
    <xf borderId="20" fillId="0" fontId="7" numFmtId="0" xfId="0" applyAlignment="1" applyBorder="1" applyFont="1">
      <alignment readingOrder="0" shrinkToFit="0" vertical="top" wrapText="1"/>
    </xf>
    <xf borderId="17" fillId="0" fontId="17" numFmtId="0" xfId="0" applyAlignment="1" applyBorder="1" applyFont="1">
      <alignment horizontal="left" readingOrder="0" shrinkToFit="0" vertical="top" wrapText="1"/>
    </xf>
    <xf borderId="13" fillId="0" fontId="3" numFmtId="0" xfId="0" applyAlignment="1" applyBorder="1" applyFont="1">
      <alignment horizontal="left" shrinkToFit="0" vertical="top" wrapText="1"/>
    </xf>
    <xf borderId="13" fillId="0" fontId="2" numFmtId="0" xfId="0" applyAlignment="1" applyBorder="1" applyFont="1">
      <alignment horizontal="left" shrinkToFit="0" vertical="top" wrapText="1"/>
    </xf>
    <xf borderId="17" fillId="0" fontId="2" numFmtId="0" xfId="0" applyAlignment="1" applyBorder="1" applyFont="1">
      <alignment horizontal="left" shrinkToFit="0" vertical="top" wrapText="1"/>
    </xf>
    <xf borderId="0" fillId="0" fontId="9" numFmtId="0" xfId="0" applyAlignment="1" applyFont="1">
      <alignment horizontal="center" shrinkToFit="0" vertical="center" wrapText="1"/>
    </xf>
    <xf borderId="0" fillId="0" fontId="10" numFmtId="0" xfId="0" applyAlignment="1" applyFont="1">
      <alignment horizontal="left" shrinkToFit="0" vertical="top" wrapText="1"/>
    </xf>
    <xf borderId="0" fillId="0" fontId="10" numFmtId="0" xfId="0" applyAlignment="1" applyFont="1">
      <alignment shrinkToFit="0" vertical="top" wrapText="1"/>
    </xf>
    <xf borderId="0" fillId="0" fontId="9" numFmtId="0" xfId="0" applyAlignment="1" applyFont="1">
      <alignment horizontal="center" readingOrder="0" shrinkToFit="0" vertical="center" wrapText="1"/>
    </xf>
    <xf borderId="0" fillId="0" fontId="10" numFmtId="0" xfId="0" applyAlignment="1" applyFont="1">
      <alignment readingOrder="0" shrinkToFit="0" vertical="top" wrapText="1"/>
    </xf>
    <xf borderId="0" fillId="0" fontId="10" numFmtId="0" xfId="0" applyAlignment="1" applyFont="1">
      <alignment horizontal="left" readingOrder="0" shrinkToFit="0" vertical="top" wrapText="1"/>
    </xf>
    <xf borderId="0" fillId="0" fontId="9" numFmtId="0" xfId="0" applyAlignment="1" applyFont="1">
      <alignment horizontal="center" shrinkToFit="0" vertical="top" wrapText="1"/>
    </xf>
    <xf borderId="2" fillId="6" fontId="5" numFmtId="0" xfId="0" applyAlignment="1" applyBorder="1" applyFont="1">
      <alignment vertical="center"/>
    </xf>
    <xf borderId="1" fillId="6" fontId="5" numFmtId="0" xfId="0" applyAlignment="1" applyBorder="1" applyFont="1">
      <alignment vertical="center"/>
    </xf>
    <xf borderId="1" fillId="6" fontId="3" numFmtId="0" xfId="0" applyAlignment="1" applyBorder="1" applyFont="1">
      <alignment vertical="center"/>
    </xf>
    <xf borderId="1" fillId="6" fontId="2" numFmtId="0" xfId="0" applyAlignment="1" applyBorder="1" applyFont="1">
      <alignment vertical="center"/>
    </xf>
    <xf borderId="0" fillId="0" fontId="2" numFmtId="0" xfId="0" applyAlignment="1" applyFont="1">
      <alignment vertical="center"/>
    </xf>
    <xf borderId="0" fillId="0" fontId="3" numFmtId="0" xfId="0" applyAlignment="1" applyFont="1">
      <alignment vertical="center"/>
    </xf>
    <xf borderId="1" fillId="3" fontId="5" numFmtId="0" xfId="0" applyAlignment="1" applyBorder="1" applyFont="1">
      <alignment vertical="center"/>
    </xf>
    <xf borderId="1" fillId="3" fontId="3" numFmtId="0" xfId="0" applyAlignment="1" applyBorder="1" applyFont="1">
      <alignment vertical="center"/>
    </xf>
    <xf borderId="1" fillId="3" fontId="2" numFmtId="0" xfId="0" applyAlignment="1" applyBorder="1" applyFont="1">
      <alignment vertical="center"/>
    </xf>
    <xf borderId="21" fillId="8" fontId="3" numFmtId="0" xfId="0" applyAlignment="1" applyBorder="1" applyFont="1">
      <alignment horizontal="center" shrinkToFit="0" vertical="center" wrapText="1"/>
    </xf>
    <xf borderId="21" fillId="8" fontId="7" numFmtId="0" xfId="0" applyAlignment="1" applyBorder="1" applyFont="1">
      <alignment horizontal="center" readingOrder="0"/>
    </xf>
    <xf borderId="21" fillId="0" fontId="3" numFmtId="0" xfId="0" applyAlignment="1" applyBorder="1" applyFont="1">
      <alignment horizontal="left" readingOrder="0" shrinkToFit="0" vertical="top" wrapText="1"/>
    </xf>
    <xf borderId="21" fillId="0" fontId="2" numFmtId="0" xfId="0" applyAlignment="1" applyBorder="1" applyFont="1">
      <alignment horizontal="left" readingOrder="0" shrinkToFit="0" vertical="top" wrapText="1"/>
    </xf>
    <xf quotePrefix="1" borderId="21" fillId="0" fontId="2" numFmtId="0" xfId="0" applyAlignment="1" applyBorder="1" applyFont="1">
      <alignment horizontal="left" readingOrder="0" shrinkToFit="0" vertical="top" wrapText="1"/>
    </xf>
    <xf borderId="21" fillId="0" fontId="6" numFmtId="0" xfId="0" applyAlignment="1" applyBorder="1" applyFont="1">
      <alignment horizontal="left" readingOrder="0" vertical="top"/>
    </xf>
    <xf borderId="0" fillId="0" fontId="4" numFmtId="0" xfId="0" applyAlignment="1" applyFont="1">
      <alignment readingOrder="0" shrinkToFit="0" wrapText="1"/>
    </xf>
    <xf borderId="21" fillId="8" fontId="3" numFmtId="0" xfId="0" applyAlignment="1" applyBorder="1" applyFont="1">
      <alignment horizontal="center" readingOrder="0" shrinkToFit="0" vertical="center" wrapText="1"/>
    </xf>
    <xf borderId="22" fillId="8" fontId="18" numFmtId="0" xfId="0" applyAlignment="1" applyBorder="1" applyFont="1">
      <alignment horizontal="center" vertical="center"/>
    </xf>
    <xf borderId="21" fillId="0" fontId="3" numFmtId="0" xfId="0" applyAlignment="1" applyBorder="1" applyFont="1">
      <alignment horizontal="left" shrinkToFit="0" vertical="top" wrapText="1"/>
    </xf>
    <xf borderId="21" fillId="0" fontId="2" numFmtId="0" xfId="0" applyAlignment="1" applyBorder="1" applyFont="1">
      <alignment horizontal="left" shrinkToFit="0" vertical="top" wrapText="1"/>
    </xf>
    <xf borderId="21" fillId="0" fontId="19" numFmtId="0" xfId="0" applyAlignment="1" applyBorder="1" applyFont="1">
      <alignment horizontal="left" readingOrder="0" shrinkToFit="0" vertical="top" wrapText="1"/>
    </xf>
    <xf borderId="0" fillId="9" fontId="20" numFmtId="0" xfId="0" applyAlignment="1" applyFill="1" applyFont="1">
      <alignment readingOrder="0"/>
    </xf>
    <xf borderId="0" fillId="9" fontId="20" numFmtId="0" xfId="0" applyFont="1"/>
    <xf borderId="0" fillId="0" fontId="21" numFmtId="0" xfId="0" applyFont="1"/>
    <xf borderId="23" fillId="10" fontId="22" numFmtId="0" xfId="0" applyAlignment="1" applyBorder="1" applyFill="1" applyFont="1">
      <alignment horizontal="center" readingOrder="0" vertical="center"/>
    </xf>
    <xf borderId="23" fillId="10" fontId="7"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shrinkToFit="0" wrapText="1"/>
    </xf>
    <xf borderId="23" fillId="11" fontId="7" numFmtId="0" xfId="0" applyAlignment="1" applyBorder="1" applyFill="1" applyFont="1">
      <alignment horizontal="center" readingOrder="0" shrinkToFit="0" vertical="center" wrapText="1"/>
    </xf>
    <xf borderId="23" fillId="0" fontId="23" numFmtId="0" xfId="0" applyAlignment="1" applyBorder="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4" numFmtId="0" xfId="0" applyAlignment="1" applyFont="1">
      <alignment shrinkToFit="0" wrapText="1"/>
    </xf>
    <xf borderId="24" fillId="3" fontId="25" numFmtId="0" xfId="0" applyAlignment="1" applyBorder="1" applyFont="1">
      <alignment horizontal="left" vertical="center"/>
    </xf>
    <xf borderId="25" fillId="0" fontId="8" numFmtId="0" xfId="0" applyBorder="1" applyFont="1"/>
    <xf borderId="26" fillId="0" fontId="8" numFmtId="0" xfId="0" applyBorder="1" applyFont="1"/>
    <xf borderId="21" fillId="8" fontId="26" numFmtId="0" xfId="0" applyAlignment="1" applyBorder="1" applyFont="1">
      <alignment horizontal="center" shrinkToFit="0" vertical="center" wrapText="1"/>
    </xf>
    <xf borderId="21" fillId="12" fontId="27" numFmtId="0" xfId="0" applyAlignment="1" applyBorder="1" applyFill="1" applyFont="1">
      <alignment horizontal="center" vertical="center"/>
    </xf>
    <xf borderId="21" fillId="12" fontId="28" numFmtId="0" xfId="0" applyAlignment="1" applyBorder="1" applyFont="1">
      <alignment shrinkToFit="0" vertical="top" wrapText="1"/>
    </xf>
    <xf borderId="21" fillId="0" fontId="27" numFmtId="0" xfId="0" applyAlignment="1" applyBorder="1" applyFont="1">
      <alignment horizontal="center" vertical="center"/>
    </xf>
    <xf borderId="21" fillId="0" fontId="28" numFmtId="0" xfId="0" applyAlignment="1" applyBorder="1" applyFont="1">
      <alignment shrinkToFit="0" vertical="top" wrapText="1"/>
    </xf>
    <xf borderId="24" fillId="12" fontId="2" numFmtId="0" xfId="0" applyAlignment="1" applyBorder="1" applyFont="1">
      <alignment shrinkToFit="0" vertical="top" wrapText="1"/>
    </xf>
    <xf borderId="27" fillId="0" fontId="3" numFmtId="0" xfId="0" applyAlignment="1" applyBorder="1" applyFont="1">
      <alignment horizontal="left" vertical="top"/>
    </xf>
    <xf borderId="0" fillId="0" fontId="2" numFmtId="0" xfId="0" applyAlignment="1" applyFont="1">
      <alignment horizontal="left" readingOrder="0" vertical="top"/>
    </xf>
    <xf borderId="28" fillId="0" fontId="7" numFmtId="0" xfId="0" applyAlignment="1" applyBorder="1" applyFont="1">
      <alignment horizontal="left" vertical="top"/>
    </xf>
    <xf borderId="29" fillId="0" fontId="7" numFmtId="0" xfId="0" applyAlignment="1" applyBorder="1" applyFont="1">
      <alignment horizontal="left" vertical="top"/>
    </xf>
    <xf borderId="0" fillId="0" fontId="27" numFmtId="0" xfId="0" applyAlignment="1" applyFont="1">
      <alignment horizontal="left" shrinkToFit="0" vertical="top" wrapText="1"/>
    </xf>
    <xf borderId="0" fillId="0" fontId="2" numFmtId="164" xfId="0" applyFont="1" applyNumberFormat="1"/>
    <xf borderId="30" fillId="0" fontId="7" numFmtId="0" xfId="0" applyAlignment="1" applyBorder="1" applyFont="1">
      <alignment horizontal="left" vertical="top"/>
    </xf>
    <xf borderId="0" fillId="0" fontId="27" numFmtId="164" xfId="0" applyAlignment="1" applyFont="1" applyNumberFormat="1">
      <alignment horizontal="left" shrinkToFit="0" vertical="top" wrapText="1"/>
    </xf>
    <xf borderId="0" fillId="0" fontId="6" numFmtId="0" xfId="0" applyAlignment="1" applyFont="1">
      <alignment horizontal="left" readingOrder="0" shrinkToFit="0" vertical="top" wrapText="1"/>
    </xf>
    <xf borderId="31" fillId="7" fontId="3" numFmtId="0" xfId="0" applyAlignment="1" applyBorder="1" applyFont="1">
      <alignment vertical="top"/>
    </xf>
    <xf borderId="31" fillId="0" fontId="2" numFmtId="0" xfId="0" applyAlignment="1" applyBorder="1" applyFont="1">
      <alignment vertical="top"/>
    </xf>
    <xf borderId="31" fillId="0" fontId="2" numFmtId="164" xfId="0" applyAlignment="1" applyBorder="1" applyFont="1" applyNumberFormat="1">
      <alignment vertical="top"/>
    </xf>
    <xf borderId="31" fillId="0" fontId="2" numFmtId="0" xfId="0" applyAlignment="1" applyBorder="1" applyFont="1">
      <alignment shrinkToFit="0" vertical="top" wrapText="1"/>
    </xf>
    <xf borderId="23" fillId="10" fontId="7" numFmtId="0" xfId="0" applyAlignment="1" applyBorder="1" applyFont="1">
      <alignment horizontal="center" readingOrder="0" shrinkToFit="0" vertical="center" wrapText="1"/>
    </xf>
    <xf borderId="23" fillId="0" fontId="6" numFmtId="0" xfId="0" applyAlignment="1" applyBorder="1" applyFont="1">
      <alignment readingOrder="0" shrinkToFit="0" vertical="top" wrapText="1"/>
    </xf>
    <xf borderId="23" fillId="0" fontId="6" numFmtId="0" xfId="0" applyAlignment="1" applyBorder="1" applyFont="1">
      <alignment readingOrder="0" shrinkToFit="0" vertical="top" wrapText="1"/>
    </xf>
    <xf borderId="22" fillId="8" fontId="3" numFmtId="0" xfId="0" applyAlignment="1" applyBorder="1" applyFont="1">
      <alignment horizontal="center" vertical="center"/>
    </xf>
    <xf borderId="22" fillId="0" fontId="3" numFmtId="0" xfId="0" applyAlignment="1" applyBorder="1" applyFont="1">
      <alignment shrinkToFit="0" vertical="top" wrapText="1"/>
    </xf>
    <xf borderId="22" fillId="0" fontId="29" numFmtId="0" xfId="0" applyAlignment="1" applyBorder="1" applyFont="1">
      <alignment shrinkToFit="0" vertical="top" wrapText="1"/>
    </xf>
    <xf quotePrefix="1" borderId="22" fillId="0" fontId="29" numFmtId="0" xfId="0" applyAlignment="1" applyBorder="1" applyFont="1">
      <alignment readingOrder="0" shrinkToFit="0" vertical="top" wrapText="1"/>
    </xf>
    <xf borderId="32" fillId="0" fontId="2" numFmtId="0" xfId="0" applyAlignment="1" applyBorder="1" applyFont="1">
      <alignment horizontal="left" readingOrder="0" shrinkToFit="0" vertical="top" wrapText="1"/>
    </xf>
    <xf quotePrefix="1" borderId="33" fillId="0" fontId="29" numFmtId="0" xfId="0" applyAlignment="1" applyBorder="1" applyFont="1">
      <alignment readingOrder="0" shrinkToFit="0" vertical="top" wrapText="1"/>
    </xf>
    <xf borderId="34" fillId="0" fontId="29" numFmtId="0" xfId="0" applyAlignment="1" applyBorder="1" applyFont="1">
      <alignment shrinkToFit="0" vertical="top" wrapText="1"/>
    </xf>
    <xf borderId="31" fillId="0" fontId="2" numFmtId="0" xfId="0" applyAlignment="1" applyBorder="1" applyFont="1">
      <alignment horizontal="left" readingOrder="0" shrinkToFit="0" vertical="top" wrapText="1"/>
    </xf>
    <xf quotePrefix="1" borderId="31" fillId="0" fontId="29" numFmtId="0" xfId="0" applyAlignment="1" applyBorder="1" applyFont="1">
      <alignment readingOrder="0" shrinkToFit="0" vertical="top" wrapText="1"/>
    </xf>
    <xf borderId="22" fillId="0" fontId="30" numFmtId="0" xfId="0" applyAlignment="1" applyBorder="1" applyFont="1">
      <alignment shrinkToFit="0" vertical="top" wrapText="1"/>
    </xf>
    <xf borderId="22" fillId="0" fontId="31" numFmtId="0" xfId="0" applyAlignment="1" applyBorder="1" applyFont="1">
      <alignment shrinkToFit="0" vertical="top" wrapText="1"/>
    </xf>
    <xf borderId="0" fillId="13" fontId="20" numFmtId="0" xfId="0" applyAlignment="1" applyFill="1" applyFont="1">
      <alignment readingOrder="0" shrinkToFit="0" wrapText="1"/>
    </xf>
    <xf borderId="0" fillId="13" fontId="20" numFmtId="0" xfId="0" applyAlignment="1" applyFont="1">
      <alignment shrinkToFit="0" wrapText="1"/>
    </xf>
    <xf borderId="0" fillId="14" fontId="32" numFmtId="0" xfId="0" applyAlignment="1" applyFill="1" applyFont="1">
      <alignment horizontal="center" readingOrder="0" shrinkToFit="0" vertical="center" wrapText="1"/>
    </xf>
    <xf borderId="31" fillId="0" fontId="23" numFmtId="0" xfId="0" applyAlignment="1" applyBorder="1" applyFont="1">
      <alignment readingOrder="0" shrinkToFit="0" vertical="top" wrapText="1"/>
    </xf>
    <xf borderId="22" fillId="15" fontId="31" numFmtId="0" xfId="0" applyBorder="1" applyFill="1" applyFont="1"/>
    <xf borderId="31" fillId="0" fontId="3" numFmtId="0" xfId="0" applyAlignment="1" applyBorder="1" applyFont="1">
      <alignment vertical="top"/>
    </xf>
    <xf borderId="0" fillId="0" fontId="6" numFmtId="0" xfId="0" applyAlignment="1" applyFont="1">
      <alignment horizontal="left" shrinkToFit="0" vertical="top" wrapText="1"/>
    </xf>
    <xf borderId="31" fillId="0" fontId="6" numFmtId="0" xfId="0" applyAlignment="1" applyBorder="1" applyFont="1">
      <alignment readingOrder="0" shrinkToFit="0" vertical="top" wrapText="1"/>
    </xf>
    <xf borderId="31" fillId="0" fontId="33" numFmtId="0" xfId="0" applyAlignment="1" applyBorder="1" applyFont="1">
      <alignment readingOrder="0" shrinkToFit="0" vertical="top" wrapText="1"/>
    </xf>
    <xf borderId="0" fillId="0" fontId="6" numFmtId="0" xfId="0" applyAlignment="1" applyFont="1">
      <alignment readingOrder="0" shrinkToFit="0" vertical="top" wrapText="1"/>
    </xf>
    <xf borderId="0" fillId="0" fontId="2" numFmtId="0" xfId="0" applyAlignment="1" applyFont="1">
      <alignment readingOrder="0" shrinkToFit="0" vertical="top" wrapText="1"/>
    </xf>
    <xf borderId="1" fillId="2" fontId="1" numFmtId="0" xfId="0" applyBorder="1" applyFont="1"/>
    <xf borderId="1" fillId="2" fontId="34" numFmtId="0" xfId="0" applyBorder="1" applyFont="1"/>
    <xf borderId="0" fillId="0" fontId="35" numFmtId="0" xfId="0" applyAlignment="1" applyFont="1">
      <alignment readingOrder="0"/>
    </xf>
    <xf borderId="0" fillId="0" fontId="36" numFmtId="0" xfId="0" applyAlignment="1" applyFont="1">
      <alignment readingOrder="0"/>
    </xf>
    <xf borderId="1" fillId="3" fontId="5" numFmtId="0" xfId="0" applyAlignment="1" applyBorder="1" applyFont="1">
      <alignment readingOrder="0" vertical="center"/>
    </xf>
    <xf borderId="32" fillId="0" fontId="3" numFmtId="0" xfId="0" applyAlignment="1" applyBorder="1" applyFont="1">
      <alignment horizontal="center" readingOrder="0" shrinkToFit="0" vertical="center" wrapText="1"/>
    </xf>
    <xf borderId="32" fillId="0" fontId="37" numFmtId="0" xfId="0" applyAlignment="1" applyBorder="1" applyFont="1">
      <alignment horizontal="left" readingOrder="0" shrinkToFit="0" vertical="top" wrapText="1"/>
    </xf>
    <xf borderId="0" fillId="0" fontId="4" numFmtId="0" xfId="0" applyAlignment="1" applyFont="1">
      <alignment readingOrder="0"/>
    </xf>
    <xf borderId="35" fillId="0" fontId="8" numFmtId="0" xfId="0" applyBorder="1" applyFont="1"/>
    <xf borderId="36" fillId="0" fontId="8" numFmtId="0" xfId="0" applyBorder="1" applyFont="1"/>
    <xf borderId="21" fillId="0" fontId="2" numFmtId="0" xfId="0" applyAlignment="1" applyBorder="1" applyFont="1">
      <alignment horizontal="left" readingOrder="0" shrinkToFit="0" vertical="top" wrapText="1"/>
    </xf>
    <xf borderId="32" fillId="0" fontId="38" numFmtId="0" xfId="0" applyAlignment="1" applyBorder="1" applyFont="1">
      <alignment horizontal="left" readingOrder="0" shrinkToFit="0" vertical="top" wrapText="1"/>
    </xf>
    <xf borderId="32" fillId="0" fontId="39"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Long-term care prevention (Toyota City / Zutto Genki)</a:t>
            </a:r>
          </a:p>
        </c:rich>
      </c:tx>
      <c:overlay val="0"/>
    </c:title>
    <c:plotArea>
      <c:layout/>
      <c:radarChart>
        <c:radarStyle val="marker"/>
        <c:ser>
          <c:idx val="0"/>
          <c:order val="0"/>
          <c:tx>
            <c:strRef>
              <c:f>'Step 4'!$A$71</c:f>
            </c:strRef>
          </c:tx>
          <c:spPr>
            <a:ln cmpd="sng">
              <a:solidFill>
                <a:srgbClr val="4F81BD"/>
              </a:solidFill>
            </a:ln>
          </c:spPr>
          <c:marker>
            <c:symbol val="none"/>
          </c:marker>
          <c:cat>
            <c:strRef>
              <c:f>'Step 4'!$B$70:$H$70</c:f>
            </c:strRef>
          </c:cat>
          <c:val>
            <c:numRef>
              <c:f>'Step 4'!$B$71:$H$71</c:f>
              <c:numCache/>
            </c:numRef>
          </c:val>
          <c:smooth val="1"/>
        </c:ser>
        <c:ser>
          <c:idx val="1"/>
          <c:order val="1"/>
          <c:tx>
            <c:strRef>
              <c:f>'Step 4'!$A$72</c:f>
            </c:strRef>
          </c:tx>
          <c:spPr>
            <a:ln cmpd="sng">
              <a:solidFill>
                <a:srgbClr val="C0504D"/>
              </a:solidFill>
            </a:ln>
          </c:spPr>
          <c:marker>
            <c:symbol val="none"/>
          </c:marker>
          <c:cat>
            <c:strRef>
              <c:f>'Step 4'!$B$70:$H$70</c:f>
            </c:strRef>
          </c:cat>
          <c:val>
            <c:numRef>
              <c:f>'Step 4'!$B$72:$H$72</c:f>
              <c:numCache/>
            </c:numRef>
          </c:val>
          <c:smooth val="1"/>
        </c:ser>
        <c:ser>
          <c:idx val="2"/>
          <c:order val="2"/>
          <c:tx>
            <c:strRef>
              <c:f>'Step 4'!$A$73</c:f>
            </c:strRef>
          </c:tx>
          <c:spPr>
            <a:ln cmpd="sng">
              <a:solidFill>
                <a:srgbClr val="9BBB59"/>
              </a:solidFill>
            </a:ln>
          </c:spPr>
          <c:marker>
            <c:symbol val="none"/>
          </c:marker>
          <c:cat>
            <c:strRef>
              <c:f>'Step 4'!$B$70:$H$70</c:f>
            </c:strRef>
          </c:cat>
          <c:val>
            <c:numRef>
              <c:f>'Step 4'!$B$73:$H$73</c:f>
              <c:numCache/>
            </c:numRef>
          </c:val>
          <c:smooth val="1"/>
        </c:ser>
        <c:ser>
          <c:idx val="3"/>
          <c:order val="3"/>
          <c:tx>
            <c:strRef>
              <c:f>'Step 4'!$A$74</c:f>
            </c:strRef>
          </c:tx>
          <c:spPr>
            <a:ln cmpd="sng">
              <a:solidFill>
                <a:srgbClr val="8064A2"/>
              </a:solidFill>
            </a:ln>
          </c:spPr>
          <c:marker>
            <c:symbol val="none"/>
          </c:marker>
          <c:cat>
            <c:strRef>
              <c:f>'Step 4'!$B$70:$H$70</c:f>
            </c:strRef>
          </c:cat>
          <c:val>
            <c:numRef>
              <c:f>'Step 4'!$B$74:$H$74</c:f>
              <c:numCache/>
            </c:numRef>
          </c:val>
          <c:smooth val="1"/>
        </c:ser>
        <c:ser>
          <c:idx val="4"/>
          <c:order val="4"/>
          <c:tx>
            <c:strRef>
              <c:f>'Step 4'!$A$75</c:f>
            </c:strRef>
          </c:tx>
          <c:spPr>
            <a:ln cmpd="sng">
              <a:solidFill>
                <a:srgbClr val="4BACC6"/>
              </a:solidFill>
            </a:ln>
          </c:spPr>
          <c:marker>
            <c:symbol val="none"/>
          </c:marker>
          <c:cat>
            <c:strRef>
              <c:f>'Step 4'!$B$70:$H$70</c:f>
            </c:strRef>
          </c:cat>
          <c:val>
            <c:numRef>
              <c:f>'Step 4'!$B$75:$H$75</c:f>
              <c:numCache/>
            </c:numRef>
          </c:val>
          <c:smooth val="1"/>
        </c:ser>
        <c:ser>
          <c:idx val="5"/>
          <c:order val="5"/>
          <c:tx>
            <c:strRef>
              <c:f>'Step 4'!$A$76</c:f>
            </c:strRef>
          </c:tx>
          <c:spPr>
            <a:ln cmpd="sng">
              <a:solidFill>
                <a:srgbClr val="F79646"/>
              </a:solidFill>
            </a:ln>
          </c:spPr>
          <c:marker>
            <c:symbol val="none"/>
          </c:marker>
          <c:cat>
            <c:strRef>
              <c:f>'Step 4'!$B$70:$H$70</c:f>
            </c:strRef>
          </c:cat>
          <c:val>
            <c:numRef>
              <c:f>'Step 4'!$B$76:$H$76</c:f>
              <c:numCache/>
            </c:numRef>
          </c:val>
          <c:smooth val="1"/>
        </c:ser>
        <c:axId val="1957719354"/>
        <c:axId val="752192603"/>
      </c:radarChart>
      <c:catAx>
        <c:axId val="19577193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52192603"/>
      </c:catAx>
      <c:valAx>
        <c:axId val="7521926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7719354"/>
      </c:valAx>
    </c:plotArea>
    <c:legend>
      <c:legendPos val="t"/>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Pandanduri mini-hydro</a:t>
            </a:r>
          </a:p>
        </c:rich>
      </c:tx>
      <c:overlay val="0"/>
    </c:title>
    <c:plotArea>
      <c:layout/>
      <c:radarChart>
        <c:radarStyle val="marker"/>
        <c:ser>
          <c:idx val="0"/>
          <c:order val="0"/>
          <c:tx>
            <c:strRef>
              <c:f>'Step 4'!$A$87</c:f>
            </c:strRef>
          </c:tx>
          <c:spPr>
            <a:ln cmpd="sng">
              <a:solidFill>
                <a:srgbClr val="4F81BD"/>
              </a:solidFill>
            </a:ln>
          </c:spPr>
          <c:marker>
            <c:symbol val="none"/>
          </c:marker>
          <c:cat>
            <c:strRef>
              <c:f>'Step 4'!$B$86:$H$86</c:f>
            </c:strRef>
          </c:cat>
          <c:val>
            <c:numRef>
              <c:f>'Step 4'!$B$87:$H$87</c:f>
              <c:numCache/>
            </c:numRef>
          </c:val>
          <c:smooth val="1"/>
        </c:ser>
        <c:ser>
          <c:idx val="1"/>
          <c:order val="1"/>
          <c:tx>
            <c:strRef>
              <c:f>'Step 4'!$A$88</c:f>
            </c:strRef>
          </c:tx>
          <c:spPr>
            <a:ln cmpd="sng">
              <a:solidFill>
                <a:srgbClr val="C0504D"/>
              </a:solidFill>
            </a:ln>
          </c:spPr>
          <c:marker>
            <c:symbol val="none"/>
          </c:marker>
          <c:cat>
            <c:strRef>
              <c:f>'Step 4'!$B$86:$H$86</c:f>
            </c:strRef>
          </c:cat>
          <c:val>
            <c:numRef>
              <c:f>'Step 4'!$B$88:$H$88</c:f>
              <c:numCache/>
            </c:numRef>
          </c:val>
          <c:smooth val="1"/>
        </c:ser>
        <c:ser>
          <c:idx val="2"/>
          <c:order val="2"/>
          <c:tx>
            <c:strRef>
              <c:f>'Step 4'!$A$89</c:f>
            </c:strRef>
          </c:tx>
          <c:spPr>
            <a:ln cmpd="sng">
              <a:solidFill>
                <a:srgbClr val="9BBB59"/>
              </a:solidFill>
            </a:ln>
          </c:spPr>
          <c:marker>
            <c:symbol val="none"/>
          </c:marker>
          <c:cat>
            <c:strRef>
              <c:f>'Step 4'!$B$86:$H$86</c:f>
            </c:strRef>
          </c:cat>
          <c:val>
            <c:numRef>
              <c:f>'Step 4'!$B$89:$H$89</c:f>
              <c:numCache/>
            </c:numRef>
          </c:val>
          <c:smooth val="1"/>
        </c:ser>
        <c:ser>
          <c:idx val="3"/>
          <c:order val="3"/>
          <c:tx>
            <c:strRef>
              <c:f>'Step 4'!$A$90</c:f>
            </c:strRef>
          </c:tx>
          <c:spPr>
            <a:ln cmpd="sng">
              <a:solidFill>
                <a:srgbClr val="8064A2"/>
              </a:solidFill>
            </a:ln>
          </c:spPr>
          <c:marker>
            <c:symbol val="none"/>
          </c:marker>
          <c:cat>
            <c:strRef>
              <c:f>'Step 4'!$B$86:$H$86</c:f>
            </c:strRef>
          </c:cat>
          <c:val>
            <c:numRef>
              <c:f>'Step 4'!$B$90:$H$90</c:f>
              <c:numCache/>
            </c:numRef>
          </c:val>
          <c:smooth val="1"/>
        </c:ser>
        <c:ser>
          <c:idx val="4"/>
          <c:order val="4"/>
          <c:tx>
            <c:strRef>
              <c:f>'Step 4'!$A$91</c:f>
            </c:strRef>
          </c:tx>
          <c:spPr>
            <a:ln cmpd="sng">
              <a:solidFill>
                <a:srgbClr val="4BACC6"/>
              </a:solidFill>
            </a:ln>
          </c:spPr>
          <c:marker>
            <c:symbol val="none"/>
          </c:marker>
          <c:cat>
            <c:strRef>
              <c:f>'Step 4'!$B$86:$H$86</c:f>
            </c:strRef>
          </c:cat>
          <c:val>
            <c:numRef>
              <c:f>'Step 4'!$B$91:$H$91</c:f>
              <c:numCache/>
            </c:numRef>
          </c:val>
          <c:smooth val="1"/>
        </c:ser>
        <c:ser>
          <c:idx val="5"/>
          <c:order val="5"/>
          <c:tx>
            <c:strRef>
              <c:f>'Step 4'!$A$92</c:f>
            </c:strRef>
          </c:tx>
          <c:spPr>
            <a:ln cmpd="sng">
              <a:solidFill>
                <a:srgbClr val="F79646"/>
              </a:solidFill>
            </a:ln>
          </c:spPr>
          <c:marker>
            <c:symbol val="none"/>
          </c:marker>
          <c:cat>
            <c:strRef>
              <c:f>'Step 4'!$B$86:$H$86</c:f>
            </c:strRef>
          </c:cat>
          <c:val>
            <c:numRef>
              <c:f>'Step 4'!$B$92:$H$92</c:f>
              <c:numCache/>
            </c:numRef>
          </c:val>
          <c:smooth val="1"/>
        </c:ser>
        <c:axId val="1520985983"/>
        <c:axId val="893835462"/>
      </c:radarChart>
      <c:catAx>
        <c:axId val="15209859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93835462"/>
      </c:catAx>
      <c:valAx>
        <c:axId val="8938354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0985983"/>
      </c:valAx>
    </c:plotArea>
    <c:legend>
      <c:legendPos val="t"/>
      <c:overlay val="0"/>
      <c:txPr>
        <a:bodyPr/>
        <a:lstStyle/>
        <a:p>
          <a:pPr lvl="0">
            <a:defRPr b="0" i="0" sz="9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Long-term care prevention (Toyota City / Zutto Genki)</a:t>
            </a:r>
          </a:p>
        </c:rich>
      </c:tx>
      <c:overlay val="0"/>
    </c:title>
    <c:plotArea>
      <c:layout/>
      <c:radarChart>
        <c:radarStyle val="marker"/>
        <c:ser>
          <c:idx val="0"/>
          <c:order val="0"/>
          <c:tx>
            <c:strRef>
              <c:f>'Step 5'!$A$65</c:f>
            </c:strRef>
          </c:tx>
          <c:spPr>
            <a:ln cmpd="sng">
              <a:solidFill>
                <a:srgbClr val="4F81BD"/>
              </a:solidFill>
            </a:ln>
          </c:spPr>
          <c:marker>
            <c:symbol val="none"/>
          </c:marker>
          <c:cat>
            <c:strRef>
              <c:f>'Step 5'!$B$64:$G$64</c:f>
            </c:strRef>
          </c:cat>
          <c:val>
            <c:numRef>
              <c:f>'Step 5'!$B$65:$G$65</c:f>
              <c:numCache/>
            </c:numRef>
          </c:val>
          <c:smooth val="1"/>
        </c:ser>
        <c:ser>
          <c:idx val="1"/>
          <c:order val="1"/>
          <c:tx>
            <c:strRef>
              <c:f>'Step 5'!$A$66</c:f>
            </c:strRef>
          </c:tx>
          <c:spPr>
            <a:ln cmpd="sng">
              <a:solidFill>
                <a:srgbClr val="C0504D"/>
              </a:solidFill>
            </a:ln>
          </c:spPr>
          <c:marker>
            <c:symbol val="none"/>
          </c:marker>
          <c:cat>
            <c:strRef>
              <c:f>'Step 5'!$B$64:$G$64</c:f>
            </c:strRef>
          </c:cat>
          <c:val>
            <c:numRef>
              <c:f>'Step 5'!$B$66:$G$66</c:f>
              <c:numCache/>
            </c:numRef>
          </c:val>
          <c:smooth val="1"/>
        </c:ser>
        <c:ser>
          <c:idx val="2"/>
          <c:order val="2"/>
          <c:tx>
            <c:strRef>
              <c:f>'Step 5'!$A$67</c:f>
            </c:strRef>
          </c:tx>
          <c:spPr>
            <a:ln cmpd="sng">
              <a:solidFill>
                <a:srgbClr val="9BBB59"/>
              </a:solidFill>
            </a:ln>
          </c:spPr>
          <c:marker>
            <c:symbol val="none"/>
          </c:marker>
          <c:cat>
            <c:strRef>
              <c:f>'Step 5'!$B$64:$G$64</c:f>
            </c:strRef>
          </c:cat>
          <c:val>
            <c:numRef>
              <c:f>'Step 5'!$B$67:$G$67</c:f>
              <c:numCache/>
            </c:numRef>
          </c:val>
          <c:smooth val="1"/>
        </c:ser>
        <c:ser>
          <c:idx val="3"/>
          <c:order val="3"/>
          <c:tx>
            <c:strRef>
              <c:f>'Step 5'!$A$68</c:f>
            </c:strRef>
          </c:tx>
          <c:spPr>
            <a:ln cmpd="sng">
              <a:solidFill>
                <a:srgbClr val="8064A2"/>
              </a:solidFill>
            </a:ln>
          </c:spPr>
          <c:marker>
            <c:symbol val="none"/>
          </c:marker>
          <c:cat>
            <c:strRef>
              <c:f>'Step 5'!$B$64:$G$64</c:f>
            </c:strRef>
          </c:cat>
          <c:val>
            <c:numRef>
              <c:f>'Step 5'!$B$68:$G$68</c:f>
              <c:numCache/>
            </c:numRef>
          </c:val>
          <c:smooth val="1"/>
        </c:ser>
        <c:ser>
          <c:idx val="4"/>
          <c:order val="4"/>
          <c:tx>
            <c:strRef>
              <c:f>'Step 5'!$A$69</c:f>
            </c:strRef>
          </c:tx>
          <c:spPr>
            <a:ln cmpd="sng">
              <a:solidFill>
                <a:srgbClr val="4BACC6"/>
              </a:solidFill>
            </a:ln>
          </c:spPr>
          <c:marker>
            <c:symbol val="none"/>
          </c:marker>
          <c:cat>
            <c:strRef>
              <c:f>'Step 5'!$B$64:$G$64</c:f>
            </c:strRef>
          </c:cat>
          <c:val>
            <c:numRef>
              <c:f>'Step 5'!$B$69:$G$69</c:f>
              <c:numCache/>
            </c:numRef>
          </c:val>
          <c:smooth val="1"/>
        </c:ser>
        <c:axId val="461616952"/>
        <c:axId val="262206555"/>
      </c:radarChart>
      <c:catAx>
        <c:axId val="4616169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62206555"/>
      </c:catAx>
      <c:valAx>
        <c:axId val="2622065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1616952"/>
      </c:valAx>
    </c:plotArea>
    <c:legend>
      <c:legendPos val="t"/>
      <c:overlay val="0"/>
      <c:txPr>
        <a:bodyPr/>
        <a:lstStyle/>
        <a:p>
          <a:pPr lvl="0">
            <a:defRPr b="0" i="0" sz="9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Pandanduri mini-hydro</a:t>
            </a:r>
          </a:p>
        </c:rich>
      </c:tx>
      <c:overlay val="0"/>
    </c:title>
    <c:plotArea>
      <c:layout/>
      <c:radarChart>
        <c:radarStyle val="marker"/>
        <c:ser>
          <c:idx val="0"/>
          <c:order val="0"/>
          <c:tx>
            <c:strRef>
              <c:f>'Step 5'!$A$79</c:f>
            </c:strRef>
          </c:tx>
          <c:spPr>
            <a:ln cmpd="sng">
              <a:solidFill>
                <a:srgbClr val="4F81BD"/>
              </a:solidFill>
            </a:ln>
          </c:spPr>
          <c:marker>
            <c:symbol val="none"/>
          </c:marker>
          <c:cat>
            <c:strRef>
              <c:f>'Step 5'!$B$78:$G$78</c:f>
            </c:strRef>
          </c:cat>
          <c:val>
            <c:numRef>
              <c:f>'Step 5'!$B$79:$G$79</c:f>
              <c:numCache/>
            </c:numRef>
          </c:val>
          <c:smooth val="1"/>
        </c:ser>
        <c:ser>
          <c:idx val="1"/>
          <c:order val="1"/>
          <c:tx>
            <c:strRef>
              <c:f>'Step 5'!$A$80</c:f>
            </c:strRef>
          </c:tx>
          <c:spPr>
            <a:ln cmpd="sng">
              <a:solidFill>
                <a:srgbClr val="C0504D"/>
              </a:solidFill>
            </a:ln>
          </c:spPr>
          <c:marker>
            <c:symbol val="none"/>
          </c:marker>
          <c:cat>
            <c:strRef>
              <c:f>'Step 5'!$B$78:$G$78</c:f>
            </c:strRef>
          </c:cat>
          <c:val>
            <c:numRef>
              <c:f>'Step 5'!$B$80:$G$80</c:f>
              <c:numCache/>
            </c:numRef>
          </c:val>
          <c:smooth val="1"/>
        </c:ser>
        <c:ser>
          <c:idx val="2"/>
          <c:order val="2"/>
          <c:tx>
            <c:strRef>
              <c:f>'Step 5'!$A$81</c:f>
            </c:strRef>
          </c:tx>
          <c:spPr>
            <a:ln cmpd="sng">
              <a:solidFill>
                <a:srgbClr val="9BBB59"/>
              </a:solidFill>
            </a:ln>
          </c:spPr>
          <c:marker>
            <c:symbol val="none"/>
          </c:marker>
          <c:cat>
            <c:strRef>
              <c:f>'Step 5'!$B$78:$G$78</c:f>
            </c:strRef>
          </c:cat>
          <c:val>
            <c:numRef>
              <c:f>'Step 5'!$B$81:$G$81</c:f>
              <c:numCache/>
            </c:numRef>
          </c:val>
          <c:smooth val="1"/>
        </c:ser>
        <c:ser>
          <c:idx val="3"/>
          <c:order val="3"/>
          <c:tx>
            <c:strRef>
              <c:f>'Step 5'!$A$82</c:f>
            </c:strRef>
          </c:tx>
          <c:spPr>
            <a:ln cmpd="sng">
              <a:solidFill>
                <a:srgbClr val="8064A2"/>
              </a:solidFill>
            </a:ln>
          </c:spPr>
          <c:marker>
            <c:symbol val="none"/>
          </c:marker>
          <c:cat>
            <c:strRef>
              <c:f>'Step 5'!$B$78:$G$78</c:f>
            </c:strRef>
          </c:cat>
          <c:val>
            <c:numRef>
              <c:f>'Step 5'!$B$82:$G$82</c:f>
              <c:numCache/>
            </c:numRef>
          </c:val>
          <c:smooth val="1"/>
        </c:ser>
        <c:ser>
          <c:idx val="4"/>
          <c:order val="4"/>
          <c:tx>
            <c:strRef>
              <c:f>'Step 5'!$A$83</c:f>
            </c:strRef>
          </c:tx>
          <c:spPr>
            <a:ln cmpd="sng">
              <a:solidFill>
                <a:srgbClr val="4BACC6"/>
              </a:solidFill>
            </a:ln>
          </c:spPr>
          <c:marker>
            <c:symbol val="none"/>
          </c:marker>
          <c:cat>
            <c:strRef>
              <c:f>'Step 5'!$B$78:$G$78</c:f>
            </c:strRef>
          </c:cat>
          <c:val>
            <c:numRef>
              <c:f>'Step 5'!$B$83:$G$83</c:f>
              <c:numCache/>
            </c:numRef>
          </c:val>
          <c:smooth val="1"/>
        </c:ser>
        <c:axId val="1736056675"/>
        <c:axId val="586529691"/>
      </c:radarChart>
      <c:catAx>
        <c:axId val="17360566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86529691"/>
      </c:catAx>
      <c:valAx>
        <c:axId val="5865296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6056675"/>
      </c:valAx>
    </c:plotArea>
    <c:legend>
      <c:legendPos val="t"/>
      <c:overlay val="0"/>
      <c:txPr>
        <a:bodyPr/>
        <a:lstStyle/>
        <a:p>
          <a:pPr lvl="0">
            <a:defRPr b="0" i="0" sz="9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7.png"/><Relationship Id="rId5" Type="http://schemas.openxmlformats.org/officeDocument/2006/relationships/image" Target="../media/image6.png"/><Relationship Id="rId6"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19050</xdr:rowOff>
    </xdr:from>
    <xdr:ext cx="1085850" cy="304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209550</xdr:colOff>
      <xdr:row>11</xdr:row>
      <xdr:rowOff>180975</xdr:rowOff>
    </xdr:from>
    <xdr:ext cx="9810750" cy="1743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161925</xdr:colOff>
      <xdr:row>21</xdr:row>
      <xdr:rowOff>152400</xdr:rowOff>
    </xdr:from>
    <xdr:ext cx="9810750" cy="24384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209550</xdr:colOff>
      <xdr:row>36</xdr:row>
      <xdr:rowOff>9525</xdr:rowOff>
    </xdr:from>
    <xdr:ext cx="7639050" cy="4733925"/>
    <xdr:pic>
      <xdr:nvPicPr>
        <xdr:cNvPr id="0" name="image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161925</xdr:colOff>
      <xdr:row>60</xdr:row>
      <xdr:rowOff>85725</xdr:rowOff>
    </xdr:from>
    <xdr:ext cx="16402050" cy="4819650"/>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161925</xdr:colOff>
      <xdr:row>88</xdr:row>
      <xdr:rowOff>76200</xdr:rowOff>
    </xdr:from>
    <xdr:ext cx="16335375" cy="3609975"/>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152400</xdr:colOff>
      <xdr:row>1</xdr:row>
      <xdr:rowOff>-152400</xdr:rowOff>
    </xdr:from>
    <xdr:ext cx="6915150" cy="5124450"/>
    <xdr:pic>
      <xdr:nvPicPr>
        <xdr:cNvPr descr="17goals17days: Progress made on Global Goals"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581025</xdr:colOff>
      <xdr:row>57</xdr:row>
      <xdr:rowOff>38100</xdr:rowOff>
    </xdr:from>
    <xdr:ext cx="7315200" cy="4429125"/>
    <xdr:graphicFrame>
      <xdr:nvGraphicFramePr>
        <xdr:cNvPr id="2044892427"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523875</xdr:colOff>
      <xdr:row>83</xdr:row>
      <xdr:rowOff>133350</xdr:rowOff>
    </xdr:from>
    <xdr:ext cx="7334250" cy="4400550"/>
    <xdr:graphicFrame>
      <xdr:nvGraphicFramePr>
        <xdr:cNvPr id="1176578049"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276225</xdr:colOff>
      <xdr:row>54</xdr:row>
      <xdr:rowOff>9525</xdr:rowOff>
    </xdr:from>
    <xdr:ext cx="6505575" cy="3505200"/>
    <xdr:graphicFrame>
      <xdr:nvGraphicFramePr>
        <xdr:cNvPr id="1574645845"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228600</xdr:colOff>
      <xdr:row>73</xdr:row>
      <xdr:rowOff>142875</xdr:rowOff>
    </xdr:from>
    <xdr:ext cx="6534150" cy="3705225"/>
    <xdr:graphicFrame>
      <xdr:nvGraphicFramePr>
        <xdr:cNvPr id="1041566180" name="Chart 4"/>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tat.go.jp/english/data/jinsui/2023np/index.html" TargetMode="External"/><Relationship Id="rId2" Type="http://schemas.openxmlformats.org/officeDocument/2006/relationships/hyperlink" Target="https://www.esdm.go.id/assets/media/content/content-handbook-of-energy-and-economic-statistics-of-indonesia-2024.pdf"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dreamincubator.co.jp/wp/wp-content/uploads/2022/05/DIREPORT_SIB_EN.pdf" TargetMode="External"/><Relationship Id="rId2" Type="http://schemas.openxmlformats.org/officeDocument/2006/relationships/hyperlink" Target="https://www.dreamincubator.co.jp/wp/wp-content/uploads/2022/05/DIREPORT_SIB_EN.pdf" TargetMode="External"/><Relationship Id="rId3" Type="http://schemas.openxmlformats.org/officeDocument/2006/relationships/hyperlink" Target="https://www.city.toyota.aichi.jp/_res/projects/default_project/_page_/001/054/238/r0710/01.pdf" TargetMode="External"/><Relationship Id="rId4" Type="http://schemas.openxmlformats.org/officeDocument/2006/relationships/hyperlink" Target="https://www.ptsmi.co.id/cfind/source/files/annual-report/annual-report-pt-smi-2024.pdf" TargetMode="External"/><Relationship Id="rId5" Type="http://schemas.openxmlformats.org/officeDocument/2006/relationships/hyperlink" Target="https://www.eeas.europa.eu/delegations/indonesia/sdg-indonesia-one_en" TargetMode="External"/><Relationship Id="rId6" Type="http://schemas.openxmlformats.org/officeDocument/2006/relationships/hyperlink" Target="https://www.eeas.europa.eu/delegations/indonesia/sdg-indonesia-one_en"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clair.or.jp/j/library/docs/2021he-toyota.pdf" TargetMode="External"/><Relationship Id="rId2" Type="http://schemas.openxmlformats.org/officeDocument/2006/relationships/hyperlink" Target="https://mentari.info/2023/03/29/uk-government-to-provide-idr-21-billion-through-mentari-programme-for-a-blended-finance-vehicle-with-pt-smi-to-three-hydropower-plants-in-indonesia/"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oecd.org/content/dam/oecd/en/events/2022/5/cefim_blended-finance-guidance-for-clean-energy---2nd-workshop/Guidance-note-OECD-DAC-Principle-2.pdf" TargetMode="External"/><Relationship Id="rId2" Type="http://schemas.openxmlformats.org/officeDocument/2006/relationships/hyperlink" Target="https://www.oecd.org/content/dam/oecd/en/publications/reports/2021/08/evaluating-blended-finance-instruments-and-mechanisms_c995f112/f1574c10-en.pdf" TargetMode="External"/><Relationship Id="rId3" Type="http://schemas.openxmlformats.org/officeDocument/2006/relationships/hyperlink" Target="https://www.oecd.org/content/dam/oecd/en/publications/reports/2021/02/evaluating-financial-and-development-additionality-in-blended-finance-operations_9940d03d/a13bf17d-en.pdf" TargetMode="External"/><Relationship Id="rId4" Type="http://schemas.openxmlformats.org/officeDocument/2006/relationships/hyperlink" Target="https://www.oecd.org/content/dam/oecd/en/publications/reports/2021/02/evaluating-financial-and-development-additionality-in-blended-finance-operations_9940d03d/a13bf17d-en.pdf" TargetMode="External"/><Relationship Id="rId5" Type="http://schemas.openxmlformats.org/officeDocument/2006/relationships/hyperlink" Target="https://www.oecd.org/content/dam/oecd/en/events/2022/5/cefim_blended-finance-guidance-for-clean-energy---2nd-workshop/Guidance-note-OECD-DAC-Principle-2.pdf" TargetMode="External"/><Relationship Id="rId6" Type="http://schemas.openxmlformats.org/officeDocument/2006/relationships/hyperlink" Target="https://www.oecd.org/content/dam/oecd/en/publications/reports/2021/08/evaluating-blended-finance-instruments-and-mechanisms_c995f112/f1574c10-en.pdf" TargetMode="External"/><Relationship Id="rId7" Type="http://schemas.openxmlformats.org/officeDocument/2006/relationships/hyperlink" Target="https://www.oecd.org/content/dam/oecd/en/publications/reports/2021/08/evaluating-blended-finance-instruments-and-mechanisms_c995f112/f1574c10-en.pdf"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jetro.go.jp/en/invest/setting_up/section1/page1.html" TargetMode="External"/><Relationship Id="rId2" Type="http://schemas.openxmlformats.org/officeDocument/2006/relationships/hyperlink" Target="https://www.jetro.go.jp/en/invest/setting_up/qa.html" TargetMode="External"/><Relationship Id="rId3" Type="http://schemas.openxmlformats.org/officeDocument/2006/relationships/hyperlink" Target="https://www.jetro.go.jp/en/invest/setting_up/section1/page1.html" TargetMode="External"/><Relationship Id="rId4" Type="http://schemas.openxmlformats.org/officeDocument/2006/relationships/hyperlink" Target="https://www.mof.go.jp/english/policy/international_policy/fdi/Overview/outline1.pdf" TargetMode="External"/><Relationship Id="rId10" Type="http://schemas.openxmlformats.org/officeDocument/2006/relationships/drawing" Target="../drawings/drawing6.xml"/><Relationship Id="rId9" Type="http://schemas.openxmlformats.org/officeDocument/2006/relationships/hyperlink" Target="https://jdih-storage.bkpm.go.id/jdih/jdih/2025PP28Eng-.pdf" TargetMode="External"/><Relationship Id="rId5" Type="http://schemas.openxmlformats.org/officeDocument/2006/relationships/hyperlink" Target="https://www.japaneselawtranslation.go.jp/en/laws/view/4241/en" TargetMode="External"/><Relationship Id="rId6" Type="http://schemas.openxmlformats.org/officeDocument/2006/relationships/hyperlink" Target="https://jdih-storage.bkpm.go.id/jdih/jdih/2025PP28Eng-.pdf" TargetMode="External"/><Relationship Id="rId7" Type="http://schemas.openxmlformats.org/officeDocument/2006/relationships/hyperlink" Target="https://jdih-storage.bkpm.go.id/jdih/jdih/2025Permeninvest005Eng-.pdf" TargetMode="External"/><Relationship Id="rId8" Type="http://schemas.openxmlformats.org/officeDocument/2006/relationships/hyperlink" Target="https://jdih-storage.bkpm.go.id/jdih/jdih/2025PP28Eng-.pdf"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thkforum.org/wp-content/uploads/2025/07/Delano-Delo-250620-Tri-Hita-Kirana-GBFA-PT-SMI_s-Role-in-Supporting-the-Energy-Transition-in-Indonesia-CLEAN.pdf" TargetMode="External"/><Relationship Id="rId42" Type="http://schemas.openxmlformats.org/officeDocument/2006/relationships/hyperlink" Target="https://www.e3s-conferences.org/articles/e3sconf/pdf/2023/105/e3sconf_icstugm2023_10001.pdf" TargetMode="External"/><Relationship Id="rId41" Type="http://schemas.openxmlformats.org/officeDocument/2006/relationships/hyperlink" Target="https://iati.fcdo.gov.uk/iati_documents/S40039931.pdf" TargetMode="External"/><Relationship Id="rId44" Type="http://schemas.openxmlformats.org/officeDocument/2006/relationships/hyperlink" Target="https://www.jetro.go.jp/en/invest/setting_up/qa.html" TargetMode="External"/><Relationship Id="rId43" Type="http://schemas.openxmlformats.org/officeDocument/2006/relationships/hyperlink" Target="https://www.oecd.org/content/dam/oecd/en/publications/reports/2021/02/evaluating-financial-and-development-additionality-in-blended-finance-operations_9940d03d/a13bf17d-en.pdf" TargetMode="External"/><Relationship Id="rId46" Type="http://schemas.openxmlformats.org/officeDocument/2006/relationships/hyperlink" Target="https://www.japaneselawtranslation.go.jp/en/laws/view/4241/en" TargetMode="External"/><Relationship Id="rId45" Type="http://schemas.openxmlformats.org/officeDocument/2006/relationships/hyperlink" Target="https://www.mof.go.jp/english/policy/international_policy/fdi/Overview/outline1.pdf" TargetMode="External"/><Relationship Id="rId1" Type="http://schemas.openxmlformats.org/officeDocument/2006/relationships/hyperlink" Target="https://www.oecd.org/content/dam/oecd/en/publications/reports/2018/01/making-blended-finance-work-for-the-sustainable-development-goals_g1g88c68/9789264288768-en.pdf" TargetMode="External"/><Relationship Id="rId2" Type="http://schemas.openxmlformats.org/officeDocument/2006/relationships/hyperlink" Target="https://www.ifc.org/content/dam/ifc/doc/2025/role-of-blended-finance-in-an-evolving-global-context.pdf" TargetMode="External"/><Relationship Id="rId3" Type="http://schemas.openxmlformats.org/officeDocument/2006/relationships/hyperlink" Target="https://www.oecd.org/content/dam/oecd/en/publications/reports/2025/09/oecd-dac-blended-finance-guidance-2025_8ea42fde/e4a13d2c-en.pdf" TargetMode="External"/><Relationship Id="rId4" Type="http://schemas.openxmlformats.org/officeDocument/2006/relationships/hyperlink" Target="http://ssrn.com/abstract_id=4770779" TargetMode="External"/><Relationship Id="rId9" Type="http://schemas.openxmlformats.org/officeDocument/2006/relationships/hyperlink" Target="https://www.nber.org/system/files/working_papers/w32287/w32287.pdf" TargetMode="External"/><Relationship Id="rId48" Type="http://schemas.openxmlformats.org/officeDocument/2006/relationships/hyperlink" Target="https://www.oecd.org/content/dam/oecd/en/events/2022/5/cefim_blended-finance-guidance-for-clean-energy---2nd-workshop/Guidance-note-OECD-DAC-Principle-2.pdf" TargetMode="External"/><Relationship Id="rId47" Type="http://schemas.openxmlformats.org/officeDocument/2006/relationships/hyperlink" Target="https://jdih-storage.bkpm.go.id/jdih/jdih/2025Permeninvest005Eng-.pdf" TargetMode="External"/><Relationship Id="rId49" Type="http://schemas.openxmlformats.org/officeDocument/2006/relationships/hyperlink" Target="https://www.city.toyota.aichi.jp/res/projects/default_project/page/001/058/887/02.pdf" TargetMode="External"/><Relationship Id="rId5" Type="http://schemas.openxmlformats.org/officeDocument/2006/relationships/hyperlink" Target="https://www.msci-institute.com/wp-content/uploads/2024/10/TMP-Caroline-Flammer-transcript.pdf" TargetMode="External"/><Relationship Id="rId6" Type="http://schemas.openxmlformats.org/officeDocument/2006/relationships/hyperlink" Target="https://www.convergence.finance/api/file/e83c0b3ce24e6d07281a4e6fcc8a5516:dc71e6c934fe938f6ff10c1ca73084acba7d1db08eec25042abd5eeda5c7f3aab3171bb67e4e8d237ba934309dbc25ad356afe0d8e6e39d95181107b74722b5bf7c8b53e0c6e3f7aefb6b2ff99a31dc1e538d80375e375f120a6be6bbd50f250dc0eb4719d3d8b0fc04bf97a566c23cc82ca6f3c2984fa22aabb13adf4b213dc09bbcb1dd42a4859ec716d2ffa1b6172659ef318e9ec1b0def8818eb4b50d270" TargetMode="External"/><Relationship Id="rId7" Type="http://schemas.openxmlformats.org/officeDocument/2006/relationships/hyperlink" Target="https://www.hhs.se/globalassets/swedish-house-of-finance/conference/annual-conference-2025/presentations/2.-keynote-shof_blended-finance_flammer_09182025.pdf" TargetMode="External"/><Relationship Id="rId8" Type="http://schemas.openxmlformats.org/officeDocument/2006/relationships/hyperlink" Target="https://www3.weforum.org/docs/WEF_Blended_Finance_A_Primer_Development_Finance_Philanthropic_Funders.pdf" TargetMode="External"/><Relationship Id="rId31" Type="http://schemas.openxmlformats.org/officeDocument/2006/relationships/hyperlink" Target="https://www.ptsmi.co.id/cfind/source/files/sustainable-funding/sustainalytics-second-party-opinion-on-pt-smis-sustainable-funding-framework.pdf" TargetMode="External"/><Relationship Id="rId30" Type="http://schemas.openxmlformats.org/officeDocument/2006/relationships/hyperlink" Target="https://www.ptsmi.co.id/statement-on-climate-change-issue" TargetMode="External"/><Relationship Id="rId33" Type="http://schemas.openxmlformats.org/officeDocument/2006/relationships/hyperlink" Target="https://www.flashlombok.com/2025/04/18/pltmh-pandan-duri-diresmikan-dukung-proses-transisi-energi/" TargetMode="External"/><Relationship Id="rId32" Type="http://schemas.openxmlformats.org/officeDocument/2006/relationships/hyperlink" Target="https://www.ptsmi.co.id/uk-climate-minister-reviews-pandanduri-micro-hydroelectric-power-plant-appreciates-collaboration-with-pt-smi" TargetMode="External"/><Relationship Id="rId35" Type="http://schemas.openxmlformats.org/officeDocument/2006/relationships/hyperlink" Target="https://www.dreamincubator.co.jp/wp/wp-content/uploads/2022/05/DIREPORT_SIB_EN.pdf" TargetMode="External"/><Relationship Id="rId34" Type="http://schemas.openxmlformats.org/officeDocument/2006/relationships/hyperlink" Target="https://mentari.info/2023/03/29/uk-government-to-provide-idr-21-billion-through-mentari-programme-for-a-blended-finance-vehicle-with-pt-smi-to-three-hydropower-plants-in-indonesia/" TargetMode="External"/><Relationship Id="rId37" Type="http://schemas.openxmlformats.org/officeDocument/2006/relationships/hyperlink" Target="https://www.city.toyota.aichi.jp/_res/projects/default_project/page/001/054/238/r0710/01.pdf" TargetMode="External"/><Relationship Id="rId36" Type="http://schemas.openxmlformats.org/officeDocument/2006/relationships/hyperlink" Target="https://www.dreamincubator.co.jp/wp-content/uploads/2021/01/210105_SIB_DI_Toyotacity_EN01.pdf" TargetMode="External"/><Relationship Id="rId39" Type="http://schemas.openxmlformats.org/officeDocument/2006/relationships/hyperlink" Target="https://www.eeas.europa.eu/delegations/indonesia/sdg-indonesia-one_en" TargetMode="External"/><Relationship Id="rId38" Type="http://schemas.openxmlformats.org/officeDocument/2006/relationships/hyperlink" Target="https://www.ptsmi.co.id/cfind/source/files/annual-report/annual-report-pt-smi-2024.pdf" TargetMode="External"/><Relationship Id="rId20" Type="http://schemas.openxmlformats.org/officeDocument/2006/relationships/hyperlink" Target="https://www.oecd.org/content/dam/oecd/en/publications/reports/2021/08/evaluating-blended-finance-instruments-and-mechanisms_c995f112/f1574c10-en.pdf" TargetMode="External"/><Relationship Id="rId22" Type="http://schemas.openxmlformats.org/officeDocument/2006/relationships/hyperlink" Target="https://www.stat.go.jp/english/data/jinsui/2023np/index.html" TargetMode="External"/><Relationship Id="rId21" Type="http://schemas.openxmlformats.org/officeDocument/2006/relationships/hyperlink" Target="https://www.oecd.org/content/dam/oecd/en/publications/reports/2025/02/unlocking-local-currency-financing-in-emerging-markets-and-developing-economies_af15df6a/bc84fde7-en.pdf" TargetMode="External"/><Relationship Id="rId24" Type="http://schemas.openxmlformats.org/officeDocument/2006/relationships/hyperlink" Target="https://www.city.toyota.aichi.jp/_res/projects/default_project/page/001/044/582/r0604/01.pdf" TargetMode="External"/><Relationship Id="rId23" Type="http://schemas.openxmlformats.org/officeDocument/2006/relationships/hyperlink" Target="https://www.mhlw.go.jp/content/10807000/001303599.pdf" TargetMode="External"/><Relationship Id="rId26" Type="http://schemas.openxmlformats.org/officeDocument/2006/relationships/hyperlink" Target="https://www.oecd.org/content/dam/oecd/en/publications/reports/2024/01/oecd-economic-surveys-japan-2024_9289b572/41e807f9-en.pdf" TargetMode="External"/><Relationship Id="rId25" Type="http://schemas.openxmlformats.org/officeDocument/2006/relationships/hyperlink" Target="https://www.oecd.org/content/dam/oecd/en/publications/reports/2025/07/health-at-a-glance-2023_39bcb58d/japan_0b0de6bb/1b4f5f1d-en.pdf" TargetMode="External"/><Relationship Id="rId28" Type="http://schemas.openxmlformats.org/officeDocument/2006/relationships/hyperlink" Target="https://ember-energy.org/latest-insights/indonesias-expansion-of-clean-power-can-spur-growth-and-equality/" TargetMode="External"/><Relationship Id="rId27" Type="http://schemas.openxmlformats.org/officeDocument/2006/relationships/hyperlink" Target="https://www.mhlw.go.jp/content/10500000/000591805.pdf" TargetMode="External"/><Relationship Id="rId29" Type="http://schemas.openxmlformats.org/officeDocument/2006/relationships/hyperlink" Target="https://www.esdm.go.id/en/media-center/news-archives/bigger-share-given-to-renewables-in-2021-2030-electricity-procurement-plan" TargetMode="External"/><Relationship Id="rId51" Type="http://schemas.openxmlformats.org/officeDocument/2006/relationships/hyperlink" Target="https://www.dreamincubator.com/sea/the-zutto-genki-project-a-500-million-healthy-ageing-social-impact-bond-in-toyota-city" TargetMode="External"/><Relationship Id="rId50" Type="http://schemas.openxmlformats.org/officeDocument/2006/relationships/hyperlink" Target="https://www.clair.or.jp/j/library/docs/2021he-toyota.pdf" TargetMode="External"/><Relationship Id="rId53" Type="http://schemas.openxmlformats.org/officeDocument/2006/relationships/hyperlink" Target="https://www.esdm.go.id/en/berita-unit/directorate-general-of-electricity/ruptl-2021-2030-diterbitkan-porsi-ebt-diperbesar" TargetMode="External"/><Relationship Id="rId52" Type="http://schemas.openxmlformats.org/officeDocument/2006/relationships/hyperlink" Target="https://www.esdm.go.id/assets/media/content/content-handbook-of-energy-and-economic-statistics-of-indonesia-2024.pdf" TargetMode="External"/><Relationship Id="rId11" Type="http://schemas.openxmlformats.org/officeDocument/2006/relationships/hyperlink" Target="https://www.unepfi.org/wordpress/wp-content/uploads/2021/12/NZAOA_Scaling-Blended-Finance.pdf" TargetMode="External"/><Relationship Id="rId55" Type="http://schemas.openxmlformats.org/officeDocument/2006/relationships/hyperlink" Target="https://energyandcleanair.org/wp/wp-content/uploads/2025/09/CREA_EN-IDN-Briefing-Indonesias-RUPTL-2025-2034-Fossils-first-renewables-later.pdf" TargetMode="External"/><Relationship Id="rId10" Type="http://schemas.openxmlformats.org/officeDocument/2006/relationships/hyperlink" Target="https://media.unesco.org/sites/default/files/webform/gec003/blended-finance.pdf" TargetMode="External"/><Relationship Id="rId54" Type="http://schemas.openxmlformats.org/officeDocument/2006/relationships/hyperlink" Target="https://web.pln.co.id/statics/uploads/2025/06/b967d-ruptl-pln-2025-2034-pub-.pdf" TargetMode="External"/><Relationship Id="rId13" Type="http://schemas.openxmlformats.org/officeDocument/2006/relationships/hyperlink" Target="https://www.lacaisse.com/sites/default/files/medias/pdf/en/Blended_Finance_Booklet_Climate_Week2024.pdf" TargetMode="External"/><Relationship Id="rId12" Type="http://schemas.openxmlformats.org/officeDocument/2006/relationships/hyperlink" Target="https://pubs.aeaweb.org/doi/pdfplus/10.1257/pandp.20251072" TargetMode="External"/><Relationship Id="rId56" Type="http://schemas.openxmlformats.org/officeDocument/2006/relationships/drawing" Target="../drawings/drawing7.xml"/><Relationship Id="rId15" Type="http://schemas.openxmlformats.org/officeDocument/2006/relationships/hyperlink" Target="https://doi.org/10.1787/e4a13d2c-en" TargetMode="External"/><Relationship Id="rId14" Type="http://schemas.openxmlformats.org/officeDocument/2006/relationships/hyperlink" Target="https://filantropi.or.id/en/repository/philanthropy-outlook-2024/" TargetMode="External"/><Relationship Id="rId17" Type="http://schemas.openxmlformats.org/officeDocument/2006/relationships/hyperlink" Target="https://jdih-storage.bkpm.go.id/jdih/jdih/2025PP28Eng-.pdf" TargetMode="External"/><Relationship Id="rId16" Type="http://schemas.openxmlformats.org/officeDocument/2006/relationships/hyperlink" Target="https://www.jetro.go.jp/en/invest/setting_up/section1/page1.html" TargetMode="External"/><Relationship Id="rId19" Type="http://schemas.openxmlformats.org/officeDocument/2006/relationships/hyperlink" Target="https://www.oecd.org/content/dam/oecd/en/publications/reports/2021/06/the-role-of-guarantees-in-blended-finance_cef700a2/730e1498-en.pdf" TargetMode="External"/><Relationship Id="rId18" Type="http://schemas.openxmlformats.org/officeDocument/2006/relationships/hyperlink" Target="https://jdih.komdigi.go.id/produk_hukum/view/id/832/t/undangundang%2Bnomor%2B27%2Btahun%2B2022"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oecd.org/content/dam/oecd/en/events/2022/5/cefim_blended-finance-guidance-for-clean-energy---2nd-workshop/Guidance-note-OECD-DAC-Principle-2.pdf" TargetMode="External"/><Relationship Id="rId2" Type="http://schemas.openxmlformats.org/officeDocument/2006/relationships/hyperlink" Target="https://www3.weforum.org/docs/WEF_Blended_Finance_A_Primer_Development_Finance_Philanthropic_Funders.pdf" TargetMode="External"/><Relationship Id="rId3" Type="http://schemas.openxmlformats.org/officeDocument/2006/relationships/hyperlink" Target="https://www3.weforum.org/docs/WEF_Blended_Finance_A_Primer_Development_Finance_Philanthropic_Funders.pdf" TargetMode="External"/><Relationship Id="rId4" Type="http://schemas.openxmlformats.org/officeDocument/2006/relationships/hyperlink" Target="https://www3.weforum.org/docs/WEF_Blended_Finance_A_Primer_Development_Finance_Philanthropic_Funders.pdf" TargetMode="External"/><Relationship Id="rId5"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43"/>
    <col customWidth="1" min="2" max="26" width="10.71"/>
  </cols>
  <sheetData>
    <row r="3">
      <c r="A3" s="1" t="s">
        <v>0</v>
      </c>
      <c r="B3" s="2"/>
      <c r="C3" s="2"/>
      <c r="D3" s="2"/>
      <c r="E3" s="2"/>
      <c r="F3" s="2"/>
      <c r="G3" s="2"/>
      <c r="H3" s="2"/>
      <c r="I3" s="2"/>
      <c r="J3" s="2"/>
      <c r="K3" s="2"/>
      <c r="L3" s="2"/>
      <c r="M3" s="2"/>
      <c r="N3" s="2"/>
    </row>
    <row r="4">
      <c r="A4" s="3" t="s">
        <v>1</v>
      </c>
    </row>
    <row r="6">
      <c r="A6" s="4" t="s">
        <v>2</v>
      </c>
    </row>
    <row r="7">
      <c r="A7" s="5" t="s">
        <v>3</v>
      </c>
      <c r="B7" s="6" t="s">
        <v>4</v>
      </c>
      <c r="C7" s="7"/>
      <c r="D7" s="7"/>
      <c r="E7" s="7"/>
      <c r="F7" s="7"/>
      <c r="G7" s="7"/>
    </row>
    <row r="8">
      <c r="A8" s="8" t="s">
        <v>5</v>
      </c>
      <c r="B8" s="9" t="s">
        <v>6</v>
      </c>
      <c r="C8" s="9"/>
      <c r="D8" s="9"/>
      <c r="E8" s="9"/>
      <c r="F8" s="9"/>
      <c r="G8" s="9"/>
    </row>
    <row r="9">
      <c r="A9" s="10" t="s">
        <v>7</v>
      </c>
      <c r="B9" s="11" t="s">
        <v>8</v>
      </c>
      <c r="C9" s="11"/>
      <c r="D9" s="11"/>
      <c r="E9" s="11"/>
      <c r="F9" s="11"/>
      <c r="G9" s="11"/>
    </row>
    <row r="10">
      <c r="A10" s="12" t="s">
        <v>9</v>
      </c>
      <c r="B10" s="13" t="s">
        <v>10</v>
      </c>
      <c r="C10" s="14"/>
      <c r="D10" s="14"/>
      <c r="E10" s="14"/>
      <c r="F10" s="14"/>
      <c r="G10" s="14"/>
    </row>
    <row r="11">
      <c r="A11" s="15" t="s">
        <v>11</v>
      </c>
      <c r="B11" s="16" t="s">
        <v>12</v>
      </c>
      <c r="C11" s="16"/>
      <c r="D11" s="16"/>
      <c r="E11" s="16"/>
      <c r="F11" s="16"/>
      <c r="G11" s="16"/>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c r="D40" s="17" t="s">
        <v>13</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4:N4"/>
    <mergeCell ref="A6:N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DE9D9"/>
    <pageSetUpPr/>
  </sheetPr>
  <sheetViews>
    <sheetView showGridLines="0" workbookViewId="0"/>
  </sheetViews>
  <sheetFormatPr customHeight="1" defaultColWidth="14.43" defaultRowHeight="15.0"/>
  <cols>
    <col customWidth="1" min="1" max="1" width="19.14"/>
    <col customWidth="1" min="2" max="2" width="45.86"/>
    <col customWidth="1" min="3" max="6" width="38.0"/>
    <col customWidth="1" min="7" max="7" width="53.86"/>
    <col customWidth="1" min="8" max="8" width="58.29"/>
    <col customWidth="1" min="9" max="9" width="46.14"/>
    <col customWidth="1" min="10" max="10" width="31.14"/>
    <col customWidth="1" min="11" max="11" width="62.0"/>
    <col customWidth="1" min="12" max="12" width="22.0"/>
    <col customWidth="1" min="13" max="13" width="27.14"/>
    <col customWidth="1" min="14" max="29" width="10.71"/>
  </cols>
  <sheetData>
    <row r="1">
      <c r="A1" s="18" t="str">
        <f>Instruction!A7</f>
        <v>Step 1</v>
      </c>
      <c r="B1" s="7" t="str">
        <f>Instruction!B7</f>
        <v>Identify and Define the Development Challenges</v>
      </c>
      <c r="C1" s="7"/>
      <c r="D1" s="7"/>
      <c r="E1" s="7"/>
      <c r="F1" s="7"/>
      <c r="G1" s="7"/>
      <c r="H1" s="7"/>
      <c r="I1" s="7"/>
    </row>
    <row r="2">
      <c r="A2" s="19" t="s">
        <v>14</v>
      </c>
      <c r="G2" s="20"/>
      <c r="H2" s="20"/>
      <c r="I2" s="20"/>
    </row>
    <row r="3">
      <c r="A3" s="21">
        <v>1.0</v>
      </c>
      <c r="B3" s="22" t="s">
        <v>15</v>
      </c>
      <c r="G3" s="23"/>
      <c r="H3" s="23"/>
      <c r="I3" s="23"/>
    </row>
    <row r="4">
      <c r="A4" s="21">
        <v>2.0</v>
      </c>
      <c r="B4" s="22" t="s">
        <v>16</v>
      </c>
      <c r="G4" s="23"/>
      <c r="H4" s="23"/>
      <c r="I4" s="23"/>
    </row>
    <row r="5">
      <c r="A5" s="21">
        <v>3.0</v>
      </c>
      <c r="B5" s="24" t="s">
        <v>17</v>
      </c>
      <c r="D5" s="25"/>
      <c r="E5" s="25"/>
      <c r="F5" s="25"/>
    </row>
    <row r="6">
      <c r="A6" s="26" t="s">
        <v>18</v>
      </c>
      <c r="G6" s="27"/>
      <c r="H6" s="27"/>
      <c r="I6" s="27"/>
    </row>
    <row r="8">
      <c r="A8" s="28" t="s">
        <v>19</v>
      </c>
      <c r="B8" s="29"/>
      <c r="C8" s="30" t="s">
        <v>20</v>
      </c>
      <c r="D8" s="31"/>
      <c r="E8" s="31"/>
      <c r="F8" s="31"/>
      <c r="G8" s="32"/>
      <c r="H8" s="32"/>
      <c r="I8" s="32"/>
    </row>
    <row r="9">
      <c r="A9" s="33" t="s">
        <v>21</v>
      </c>
      <c r="B9" s="34"/>
      <c r="C9" s="35" t="s">
        <v>22</v>
      </c>
      <c r="D9" s="36"/>
      <c r="E9" s="36"/>
      <c r="F9" s="36"/>
      <c r="G9" s="37"/>
      <c r="H9" s="37"/>
      <c r="I9" s="37"/>
      <c r="J9" s="38"/>
    </row>
    <row r="10">
      <c r="A10" s="39" t="s">
        <v>23</v>
      </c>
      <c r="B10" s="40"/>
      <c r="C10" s="41" t="s">
        <v>24</v>
      </c>
      <c r="D10" s="40"/>
      <c r="E10" s="36"/>
      <c r="F10" s="36"/>
      <c r="G10" s="42"/>
      <c r="H10" s="42"/>
      <c r="I10" s="42"/>
    </row>
    <row r="11">
      <c r="A11" s="39" t="s">
        <v>25</v>
      </c>
      <c r="B11" s="40"/>
      <c r="C11" s="41" t="s">
        <v>26</v>
      </c>
      <c r="D11" s="40"/>
      <c r="E11" s="36"/>
      <c r="F11" s="36"/>
      <c r="G11" s="42"/>
      <c r="H11" s="42"/>
      <c r="I11" s="42"/>
    </row>
    <row r="12">
      <c r="A12" s="39" t="s">
        <v>27</v>
      </c>
      <c r="B12" s="40"/>
      <c r="C12" s="41" t="s">
        <v>28</v>
      </c>
      <c r="D12" s="40"/>
      <c r="E12" s="36"/>
      <c r="F12" s="36"/>
      <c r="G12" s="42"/>
      <c r="H12" s="42"/>
      <c r="I12" s="42"/>
    </row>
    <row r="13">
      <c r="A13" s="39" t="s">
        <v>29</v>
      </c>
      <c r="B13" s="40"/>
      <c r="C13" s="41" t="s">
        <v>30</v>
      </c>
      <c r="D13" s="40"/>
      <c r="E13" s="36"/>
      <c r="F13" s="36"/>
      <c r="G13" s="42"/>
      <c r="H13" s="42"/>
      <c r="I13" s="42"/>
    </row>
    <row r="14" ht="15.75" customHeight="1">
      <c r="A14" s="39" t="s">
        <v>31</v>
      </c>
      <c r="B14" s="40"/>
      <c r="C14" s="41" t="s">
        <v>32</v>
      </c>
      <c r="D14" s="40"/>
      <c r="E14" s="36"/>
      <c r="F14" s="36"/>
      <c r="G14" s="42"/>
      <c r="H14" s="42"/>
      <c r="I14" s="42"/>
    </row>
    <row r="15" ht="15.75" customHeight="1">
      <c r="A15" s="39" t="s">
        <v>33</v>
      </c>
      <c r="B15" s="40"/>
      <c r="C15" s="41" t="s">
        <v>34</v>
      </c>
      <c r="D15" s="40"/>
      <c r="E15" s="36"/>
      <c r="F15" s="36"/>
      <c r="G15" s="42"/>
      <c r="H15" s="42"/>
      <c r="I15" s="42"/>
    </row>
    <row r="16" ht="15.75" customHeight="1">
      <c r="A16" s="39" t="s">
        <v>35</v>
      </c>
      <c r="B16" s="40"/>
      <c r="C16" s="41" t="s">
        <v>36</v>
      </c>
      <c r="D16" s="40"/>
      <c r="E16" s="40"/>
      <c r="F16" s="36"/>
      <c r="G16" s="42"/>
      <c r="H16" s="42"/>
      <c r="I16" s="42"/>
    </row>
    <row r="17" ht="15.75" customHeight="1">
      <c r="A17" s="39" t="s">
        <v>37</v>
      </c>
      <c r="B17" s="40"/>
      <c r="C17" s="41" t="s">
        <v>38</v>
      </c>
      <c r="D17" s="40"/>
      <c r="E17" s="40"/>
      <c r="F17" s="36"/>
      <c r="G17" s="42"/>
      <c r="H17" s="42"/>
      <c r="I17" s="42"/>
    </row>
    <row r="18" ht="15.75" customHeight="1">
      <c r="A18" s="39" t="s">
        <v>39</v>
      </c>
      <c r="B18" s="40"/>
      <c r="C18" s="41" t="s">
        <v>40</v>
      </c>
      <c r="D18" s="40"/>
      <c r="E18" s="36"/>
      <c r="F18" s="36"/>
      <c r="G18" s="42"/>
      <c r="H18" s="42"/>
      <c r="I18" s="42"/>
    </row>
    <row r="19" ht="15.75" customHeight="1">
      <c r="A19" s="39" t="s">
        <v>41</v>
      </c>
      <c r="B19" s="40"/>
      <c r="C19" s="41" t="s">
        <v>42</v>
      </c>
      <c r="D19" s="40"/>
      <c r="E19" s="36"/>
      <c r="F19" s="36"/>
      <c r="G19" s="42"/>
      <c r="H19" s="42"/>
      <c r="I19" s="42"/>
      <c r="K19" s="43"/>
      <c r="L19" s="43"/>
    </row>
    <row r="20" ht="15.75" customHeight="1">
      <c r="A20" s="39" t="s">
        <v>43</v>
      </c>
      <c r="B20" s="40"/>
      <c r="C20" s="41" t="s">
        <v>44</v>
      </c>
      <c r="D20" s="40"/>
      <c r="E20" s="36"/>
      <c r="F20" s="36"/>
      <c r="G20" s="42"/>
      <c r="H20" s="42"/>
      <c r="I20" s="42"/>
    </row>
    <row r="21" ht="15.75" customHeight="1">
      <c r="A21" s="39" t="s">
        <v>45</v>
      </c>
      <c r="B21" s="40"/>
      <c r="C21" s="41" t="s">
        <v>46</v>
      </c>
      <c r="D21" s="40"/>
      <c r="E21" s="36"/>
      <c r="F21" s="36"/>
      <c r="G21" s="42"/>
      <c r="H21" s="42"/>
      <c r="I21" s="42"/>
    </row>
    <row r="22" ht="15.75" customHeight="1">
      <c r="A22" s="39" t="s">
        <v>47</v>
      </c>
      <c r="B22" s="40"/>
      <c r="C22" s="41" t="s">
        <v>48</v>
      </c>
      <c r="D22" s="40"/>
      <c r="E22" s="36"/>
      <c r="F22" s="36"/>
      <c r="G22" s="42"/>
      <c r="H22" s="42"/>
      <c r="I22" s="42"/>
    </row>
    <row r="23" ht="15.75" customHeight="1">
      <c r="A23" s="39" t="s">
        <v>49</v>
      </c>
      <c r="B23" s="40"/>
      <c r="C23" s="44" t="s">
        <v>50</v>
      </c>
      <c r="D23" s="40"/>
      <c r="E23" s="40"/>
      <c r="F23" s="40"/>
      <c r="G23" s="45"/>
      <c r="H23" s="45"/>
      <c r="I23" s="45"/>
    </row>
    <row r="24" ht="15.75" customHeight="1">
      <c r="A24" s="39" t="s">
        <v>51</v>
      </c>
      <c r="B24" s="40"/>
      <c r="C24" s="44" t="s">
        <v>52</v>
      </c>
      <c r="D24" s="40"/>
      <c r="E24" s="40"/>
      <c r="F24" s="40"/>
      <c r="G24" s="45"/>
      <c r="H24" s="45"/>
      <c r="I24" s="45"/>
    </row>
    <row r="25" ht="15.75" customHeight="1">
      <c r="A25" s="46" t="s">
        <v>53</v>
      </c>
      <c r="B25" s="47"/>
      <c r="C25" s="48" t="s">
        <v>54</v>
      </c>
      <c r="D25" s="49"/>
      <c r="E25" s="49"/>
      <c r="F25" s="50"/>
      <c r="G25" s="51"/>
      <c r="H25" s="51"/>
      <c r="I25" s="52"/>
    </row>
    <row r="26" ht="15.75" customHeight="1"/>
    <row r="27" ht="15.75" customHeight="1">
      <c r="A27" s="53" t="s">
        <v>55</v>
      </c>
      <c r="B27" s="32"/>
      <c r="C27" s="32"/>
      <c r="D27" s="32"/>
      <c r="E27" s="32"/>
      <c r="F27" s="32"/>
      <c r="G27" s="32"/>
      <c r="H27" s="32"/>
    </row>
    <row r="28" ht="15.75" customHeight="1">
      <c r="A28" s="54" t="s">
        <v>56</v>
      </c>
      <c r="B28" s="55" t="s">
        <v>57</v>
      </c>
      <c r="C28" s="55" t="s">
        <v>58</v>
      </c>
      <c r="D28" s="54" t="s">
        <v>59</v>
      </c>
      <c r="E28" s="56" t="s">
        <v>60</v>
      </c>
      <c r="F28" s="56" t="s">
        <v>61</v>
      </c>
      <c r="G28" s="56" t="s">
        <v>62</v>
      </c>
      <c r="H28" s="56" t="s">
        <v>63</v>
      </c>
      <c r="I28" s="54" t="s">
        <v>64</v>
      </c>
      <c r="J28" s="57" t="s">
        <v>65</v>
      </c>
      <c r="K28" s="57" t="s">
        <v>66</v>
      </c>
      <c r="L28" s="57" t="s">
        <v>67</v>
      </c>
    </row>
    <row r="29" ht="15.75" customHeight="1">
      <c r="A29" s="58" t="s">
        <v>68</v>
      </c>
      <c r="B29" s="59" t="s">
        <v>69</v>
      </c>
      <c r="C29" s="60" t="s">
        <v>70</v>
      </c>
      <c r="D29" s="61" t="s">
        <v>71</v>
      </c>
      <c r="E29" s="62" t="s">
        <v>72</v>
      </c>
      <c r="F29" s="62" t="s">
        <v>73</v>
      </c>
      <c r="G29" s="62" t="s">
        <v>74</v>
      </c>
      <c r="H29" s="62" t="s">
        <v>75</v>
      </c>
      <c r="I29" s="61" t="s">
        <v>76</v>
      </c>
      <c r="J29" s="63" t="s">
        <v>77</v>
      </c>
      <c r="K29" s="63" t="s">
        <v>78</v>
      </c>
      <c r="L29" s="63" t="s">
        <v>79</v>
      </c>
    </row>
    <row r="30">
      <c r="A30" s="64" t="s">
        <v>80</v>
      </c>
      <c r="B30" s="65" t="s">
        <v>25</v>
      </c>
      <c r="C30" s="65" t="s">
        <v>81</v>
      </c>
      <c r="D30" s="66" t="s">
        <v>82</v>
      </c>
      <c r="E30" s="67" t="s">
        <v>83</v>
      </c>
      <c r="F30" s="67">
        <v>2021.0</v>
      </c>
      <c r="G30" s="67" t="s">
        <v>84</v>
      </c>
      <c r="H30" s="68" t="s">
        <v>85</v>
      </c>
      <c r="I30" s="66" t="s">
        <v>86</v>
      </c>
      <c r="J30" s="68" t="s">
        <v>87</v>
      </c>
      <c r="K30" s="68" t="s">
        <v>88</v>
      </c>
      <c r="L30" s="69" t="s">
        <v>89</v>
      </c>
    </row>
    <row r="31">
      <c r="A31" s="64" t="s">
        <v>90</v>
      </c>
      <c r="B31" s="65" t="s">
        <v>33</v>
      </c>
      <c r="C31" s="65" t="s">
        <v>91</v>
      </c>
      <c r="D31" s="66" t="s">
        <v>92</v>
      </c>
      <c r="E31" s="67" t="s">
        <v>93</v>
      </c>
      <c r="F31" s="67">
        <v>2023.0</v>
      </c>
      <c r="G31" s="67" t="s">
        <v>94</v>
      </c>
      <c r="H31" s="68" t="s">
        <v>95</v>
      </c>
      <c r="I31" s="66" t="s">
        <v>96</v>
      </c>
      <c r="J31" s="68" t="s">
        <v>97</v>
      </c>
      <c r="K31" s="68" t="s">
        <v>98</v>
      </c>
      <c r="L31" s="69" t="s">
        <v>99</v>
      </c>
    </row>
    <row r="32" ht="15.75" customHeight="1">
      <c r="A32" s="64"/>
      <c r="B32" s="70"/>
      <c r="C32" s="70"/>
      <c r="D32" s="64"/>
      <c r="E32" s="64"/>
      <c r="F32" s="64"/>
      <c r="G32" s="64"/>
      <c r="H32" s="64"/>
      <c r="I32" s="64"/>
      <c r="J32" s="64"/>
      <c r="K32" s="64"/>
      <c r="L32" s="64"/>
    </row>
    <row r="33" ht="15.75" customHeight="1">
      <c r="A33" s="64"/>
      <c r="B33" s="70"/>
      <c r="C33" s="70"/>
      <c r="D33" s="64"/>
      <c r="E33" s="64"/>
      <c r="F33" s="64"/>
      <c r="G33" s="64"/>
      <c r="H33" s="64"/>
      <c r="I33" s="64"/>
      <c r="J33" s="64"/>
      <c r="K33" s="64"/>
      <c r="L33" s="64"/>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38">
    <mergeCell ref="A2:F2"/>
    <mergeCell ref="B3:F3"/>
    <mergeCell ref="B4:F4"/>
    <mergeCell ref="B5:C5"/>
    <mergeCell ref="A6:F6"/>
    <mergeCell ref="A8:B8"/>
    <mergeCell ref="A9:B9"/>
    <mergeCell ref="A10:B10"/>
    <mergeCell ref="C10:D10"/>
    <mergeCell ref="A11:B11"/>
    <mergeCell ref="C11:D11"/>
    <mergeCell ref="A12:B12"/>
    <mergeCell ref="C12:D12"/>
    <mergeCell ref="C13:D13"/>
    <mergeCell ref="A20:B20"/>
    <mergeCell ref="A21:B21"/>
    <mergeCell ref="A22:B22"/>
    <mergeCell ref="A23:B23"/>
    <mergeCell ref="A24:B24"/>
    <mergeCell ref="A25:B25"/>
    <mergeCell ref="A13:B13"/>
    <mergeCell ref="A14:B14"/>
    <mergeCell ref="A15:B15"/>
    <mergeCell ref="A16:B16"/>
    <mergeCell ref="A17:B17"/>
    <mergeCell ref="A18:B18"/>
    <mergeCell ref="A19:B19"/>
    <mergeCell ref="C21:D21"/>
    <mergeCell ref="C22:D22"/>
    <mergeCell ref="C23:F23"/>
    <mergeCell ref="C24:F24"/>
    <mergeCell ref="C14:D14"/>
    <mergeCell ref="C15:D15"/>
    <mergeCell ref="C16:E16"/>
    <mergeCell ref="C17:E17"/>
    <mergeCell ref="C18:D18"/>
    <mergeCell ref="C19:D19"/>
    <mergeCell ref="C20:D20"/>
  </mergeCells>
  <hyperlinks>
    <hyperlink r:id="rId1" ref="L30"/>
    <hyperlink r:id="rId2" ref="L31"/>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EEF3"/>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7.43"/>
    <col customWidth="1" min="2" max="2" width="45.86"/>
    <col customWidth="1" min="3" max="3" width="38.0"/>
    <col customWidth="1" min="4" max="4" width="46.14"/>
    <col customWidth="1" min="5" max="5" width="41.14"/>
    <col customWidth="1" min="6" max="6" width="60.14"/>
    <col customWidth="1" min="7" max="24" width="10.71"/>
  </cols>
  <sheetData>
    <row r="1">
      <c r="A1" s="71" t="str">
        <f>Instruction!A8</f>
        <v>Step 2</v>
      </c>
      <c r="B1" s="9" t="str">
        <f>Instruction!B8</f>
        <v>Map the intermediaries already addressing the issue</v>
      </c>
      <c r="C1" s="9"/>
      <c r="D1" s="9"/>
      <c r="E1" s="9"/>
      <c r="F1" s="9"/>
    </row>
    <row r="2">
      <c r="A2" s="72" t="s">
        <v>100</v>
      </c>
      <c r="G2" s="73"/>
      <c r="H2" s="73"/>
      <c r="I2" s="73"/>
      <c r="J2" s="73"/>
      <c r="K2" s="73"/>
      <c r="L2" s="73"/>
      <c r="M2" s="73"/>
      <c r="N2" s="73"/>
      <c r="O2" s="73"/>
      <c r="P2" s="73"/>
      <c r="Q2" s="73"/>
      <c r="R2" s="73"/>
      <c r="S2" s="73"/>
      <c r="T2" s="73"/>
      <c r="U2" s="73"/>
      <c r="V2" s="73"/>
      <c r="W2" s="73"/>
      <c r="X2" s="73"/>
    </row>
    <row r="3">
      <c r="A3" s="20"/>
    </row>
    <row r="4">
      <c r="A4" s="53" t="s">
        <v>101</v>
      </c>
      <c r="B4" s="32"/>
      <c r="C4" s="32"/>
      <c r="D4" s="32"/>
      <c r="E4" s="32"/>
      <c r="F4" s="32"/>
    </row>
    <row r="5">
      <c r="A5" s="74" t="s">
        <v>56</v>
      </c>
      <c r="B5" s="74" t="s">
        <v>102</v>
      </c>
      <c r="C5" s="74" t="s">
        <v>103</v>
      </c>
      <c r="D5" s="74" t="s">
        <v>104</v>
      </c>
      <c r="E5" s="74" t="s">
        <v>105</v>
      </c>
      <c r="F5" s="74" t="s">
        <v>67</v>
      </c>
    </row>
    <row r="6">
      <c r="A6" s="75" t="s">
        <v>106</v>
      </c>
      <c r="B6" s="76" t="s">
        <v>107</v>
      </c>
      <c r="C6" s="75" t="s">
        <v>108</v>
      </c>
      <c r="D6" s="75" t="s">
        <v>109</v>
      </c>
      <c r="E6" s="75" t="s">
        <v>110</v>
      </c>
      <c r="F6" s="75" t="s">
        <v>79</v>
      </c>
    </row>
    <row r="7">
      <c r="A7" s="77" t="s">
        <v>80</v>
      </c>
      <c r="B7" s="78" t="s">
        <v>83</v>
      </c>
      <c r="C7" s="78" t="s">
        <v>111</v>
      </c>
      <c r="D7" s="78" t="s">
        <v>112</v>
      </c>
      <c r="E7" s="78" t="s">
        <v>113</v>
      </c>
      <c r="F7" s="79" t="s">
        <v>114</v>
      </c>
    </row>
    <row r="8">
      <c r="A8" s="80" t="s">
        <v>80</v>
      </c>
      <c r="B8" s="80" t="s">
        <v>83</v>
      </c>
      <c r="C8" s="80" t="s">
        <v>115</v>
      </c>
      <c r="D8" s="80" t="s">
        <v>116</v>
      </c>
      <c r="E8" s="80" t="s">
        <v>117</v>
      </c>
      <c r="F8" s="81" t="s">
        <v>118</v>
      </c>
    </row>
    <row r="9">
      <c r="A9" s="80" t="s">
        <v>80</v>
      </c>
      <c r="B9" s="80" t="s">
        <v>83</v>
      </c>
      <c r="C9" s="80" t="s">
        <v>119</v>
      </c>
      <c r="D9" s="80" t="s">
        <v>120</v>
      </c>
      <c r="E9" s="80" t="s">
        <v>121</v>
      </c>
      <c r="F9" s="81" t="s">
        <v>122</v>
      </c>
    </row>
    <row r="10">
      <c r="A10" s="80" t="s">
        <v>90</v>
      </c>
      <c r="B10" s="80" t="s">
        <v>93</v>
      </c>
      <c r="C10" s="80" t="s">
        <v>123</v>
      </c>
      <c r="D10" s="80" t="s">
        <v>124</v>
      </c>
      <c r="E10" s="80" t="s">
        <v>125</v>
      </c>
      <c r="F10" s="82" t="s">
        <v>126</v>
      </c>
    </row>
    <row r="11">
      <c r="A11" s="80" t="s">
        <v>90</v>
      </c>
      <c r="B11" s="80" t="s">
        <v>93</v>
      </c>
      <c r="C11" s="80" t="s">
        <v>127</v>
      </c>
      <c r="D11" s="80" t="s">
        <v>128</v>
      </c>
      <c r="E11" s="80" t="s">
        <v>129</v>
      </c>
      <c r="F11" s="83" t="s">
        <v>130</v>
      </c>
    </row>
    <row r="12">
      <c r="A12" s="80" t="s">
        <v>90</v>
      </c>
      <c r="B12" s="80" t="s">
        <v>93</v>
      </c>
      <c r="C12" s="80" t="s">
        <v>131</v>
      </c>
      <c r="D12" s="80" t="s">
        <v>132</v>
      </c>
      <c r="E12" s="80" t="s">
        <v>133</v>
      </c>
      <c r="F12" s="81" t="s">
        <v>134</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
    <mergeCell ref="A2:F2"/>
    <mergeCell ref="A3:D3"/>
  </mergeCells>
  <hyperlinks>
    <hyperlink r:id="rId1" ref="F7"/>
    <hyperlink r:id="rId2" ref="F8"/>
    <hyperlink r:id="rId3" ref="F9"/>
    <hyperlink r:id="rId4" ref="F10"/>
    <hyperlink r:id="rId5" ref="F11"/>
    <hyperlink r:id="rId6" ref="F12"/>
  </hyperlinks>
  <printOptions/>
  <pageMargins bottom="0.75" footer="0.0" header="0.0" left="0.7" right="0.7" top="0.75"/>
  <pageSetup orientation="landscape"/>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5DFEC"/>
    <pageSetUpPr/>
  </sheetPr>
  <sheetViews>
    <sheetView showGridLines="0" workbookViewId="0"/>
  </sheetViews>
  <sheetFormatPr customHeight="1" defaultColWidth="14.43" defaultRowHeight="15.0"/>
  <cols>
    <col customWidth="1" min="1" max="1" width="24.29"/>
    <col customWidth="1" min="2" max="2" width="33.29"/>
    <col customWidth="1" min="3" max="3" width="92.43"/>
    <col customWidth="1" min="4" max="4" width="64.71"/>
    <col customWidth="1" min="5" max="5" width="31.71"/>
    <col customWidth="1" min="6" max="6" width="55.29"/>
    <col customWidth="1" min="7" max="7" width="46.14"/>
    <col customWidth="1" min="8" max="8" width="31.14"/>
    <col customWidth="1" min="9" max="25" width="10.71"/>
  </cols>
  <sheetData>
    <row r="1">
      <c r="A1" s="84" t="str">
        <f>Instruction!A9</f>
        <v>Step 3</v>
      </c>
      <c r="B1" s="85" t="str">
        <f>Instruction!B9</f>
        <v>Diagnose the project stage and barriers</v>
      </c>
      <c r="C1" s="86"/>
      <c r="D1" s="86"/>
      <c r="E1" s="11"/>
      <c r="F1" s="11"/>
      <c r="G1" s="11"/>
      <c r="H1" s="11"/>
    </row>
    <row r="2">
      <c r="A2" s="87" t="s">
        <v>135</v>
      </c>
      <c r="E2" s="87"/>
      <c r="F2" s="87"/>
      <c r="G2" s="87"/>
      <c r="H2" s="87"/>
      <c r="I2" s="73"/>
      <c r="J2" s="73"/>
      <c r="K2" s="73"/>
      <c r="L2" s="73"/>
      <c r="M2" s="73"/>
      <c r="N2" s="73"/>
      <c r="O2" s="73"/>
      <c r="P2" s="73"/>
      <c r="Q2" s="73"/>
      <c r="R2" s="73"/>
      <c r="S2" s="73"/>
      <c r="T2" s="73"/>
      <c r="U2" s="73"/>
      <c r="V2" s="73"/>
      <c r="W2" s="73"/>
      <c r="X2" s="73"/>
      <c r="Y2" s="73"/>
    </row>
    <row r="3">
      <c r="A3" s="88"/>
      <c r="B3" s="88"/>
      <c r="C3" s="43"/>
      <c r="D3" s="43"/>
      <c r="E3" s="73"/>
      <c r="F3" s="73"/>
      <c r="G3" s="73"/>
      <c r="H3" s="73"/>
      <c r="I3" s="73"/>
      <c r="J3" s="73"/>
      <c r="K3" s="73"/>
      <c r="L3" s="73"/>
      <c r="M3" s="73"/>
      <c r="N3" s="73"/>
      <c r="O3" s="73"/>
      <c r="P3" s="73"/>
      <c r="Q3" s="73"/>
      <c r="R3" s="73"/>
      <c r="S3" s="73"/>
      <c r="T3" s="73"/>
      <c r="U3" s="73"/>
      <c r="V3" s="73"/>
      <c r="W3" s="73"/>
      <c r="X3" s="73"/>
      <c r="Y3" s="73"/>
    </row>
    <row r="4">
      <c r="A4" s="53" t="s">
        <v>136</v>
      </c>
      <c r="B4" s="53"/>
      <c r="C4" s="89"/>
      <c r="D4" s="89"/>
    </row>
    <row r="5" ht="18.75" customHeight="1">
      <c r="A5" s="90" t="s">
        <v>137</v>
      </c>
      <c r="B5" s="91" t="s">
        <v>138</v>
      </c>
      <c r="C5" s="91" t="s">
        <v>20</v>
      </c>
      <c r="D5" s="91" t="s">
        <v>139</v>
      </c>
    </row>
    <row r="6">
      <c r="A6" s="92" t="s">
        <v>140</v>
      </c>
      <c r="B6" s="92" t="s">
        <v>141</v>
      </c>
      <c r="C6" s="92" t="s">
        <v>142</v>
      </c>
      <c r="D6" s="92" t="s">
        <v>143</v>
      </c>
    </row>
    <row r="7">
      <c r="A7" s="92" t="s">
        <v>144</v>
      </c>
      <c r="B7" s="92" t="s">
        <v>145</v>
      </c>
      <c r="C7" s="92" t="s">
        <v>146</v>
      </c>
      <c r="D7" s="92" t="s">
        <v>147</v>
      </c>
    </row>
    <row r="8">
      <c r="A8" s="92" t="s">
        <v>148</v>
      </c>
      <c r="B8" s="92" t="s">
        <v>149</v>
      </c>
      <c r="C8" s="92" t="s">
        <v>150</v>
      </c>
      <c r="D8" s="92" t="s">
        <v>151</v>
      </c>
    </row>
    <row r="9">
      <c r="A9" s="92" t="s">
        <v>152</v>
      </c>
      <c r="B9" s="92" t="s">
        <v>153</v>
      </c>
      <c r="C9" s="92" t="s">
        <v>154</v>
      </c>
      <c r="D9" s="92" t="s">
        <v>155</v>
      </c>
    </row>
    <row r="10">
      <c r="A10" s="92" t="s">
        <v>156</v>
      </c>
      <c r="B10" s="92" t="s">
        <v>157</v>
      </c>
      <c r="C10" s="92" t="s">
        <v>158</v>
      </c>
      <c r="D10" s="92" t="s">
        <v>159</v>
      </c>
    </row>
    <row r="11">
      <c r="A11" s="92" t="s">
        <v>160</v>
      </c>
      <c r="B11" s="92" t="s">
        <v>161</v>
      </c>
      <c r="C11" s="92" t="s">
        <v>162</v>
      </c>
      <c r="D11" s="92" t="s">
        <v>163</v>
      </c>
    </row>
    <row r="13">
      <c r="A13" s="53" t="s">
        <v>164</v>
      </c>
      <c r="B13" s="89"/>
      <c r="C13" s="32"/>
      <c r="D13" s="32"/>
      <c r="E13" s="32"/>
      <c r="F13" s="32"/>
    </row>
    <row r="14">
      <c r="A14" s="93" t="s">
        <v>56</v>
      </c>
      <c r="B14" s="93" t="s">
        <v>102</v>
      </c>
      <c r="C14" s="94" t="s">
        <v>165</v>
      </c>
      <c r="D14" s="93" t="s">
        <v>137</v>
      </c>
      <c r="E14" s="94" t="s">
        <v>166</v>
      </c>
      <c r="F14" s="95" t="s">
        <v>67</v>
      </c>
    </row>
    <row r="15">
      <c r="A15" s="96" t="s">
        <v>106</v>
      </c>
      <c r="B15" s="61" t="s">
        <v>167</v>
      </c>
      <c r="C15" s="62" t="s">
        <v>168</v>
      </c>
      <c r="D15" s="97" t="s">
        <v>169</v>
      </c>
      <c r="E15" s="97" t="s">
        <v>170</v>
      </c>
      <c r="F15" s="96" t="s">
        <v>79</v>
      </c>
    </row>
    <row r="16">
      <c r="A16" s="98" t="s">
        <v>80</v>
      </c>
      <c r="B16" s="99" t="s">
        <v>83</v>
      </c>
      <c r="C16" s="99" t="s">
        <v>171</v>
      </c>
      <c r="D16" s="99" t="str">
        <f t="shared" ref="D16:E16" si="1">A11</f>
        <v>Expansion</v>
      </c>
      <c r="E16" s="98" t="str">
        <f t="shared" si="1"/>
        <v>Difficult to monetize social outcomes</v>
      </c>
      <c r="F16" s="100" t="s">
        <v>172</v>
      </c>
    </row>
    <row r="17">
      <c r="A17" s="101" t="s">
        <v>90</v>
      </c>
      <c r="B17" s="102" t="s">
        <v>93</v>
      </c>
      <c r="C17" s="102" t="s">
        <v>173</v>
      </c>
      <c r="D17" s="102" t="str">
        <f t="shared" ref="D17:E17" si="2">A8</f>
        <v>Facilitating</v>
      </c>
      <c r="E17" s="103" t="str">
        <f t="shared" si="2"/>
        <v>Sectorial or project risks; returns below commercial rates</v>
      </c>
      <c r="F17" s="104" t="s">
        <v>174</v>
      </c>
    </row>
    <row r="18">
      <c r="A18" s="105"/>
      <c r="B18" s="105"/>
      <c r="C18" s="106"/>
      <c r="D18" s="105"/>
      <c r="E18" s="105"/>
      <c r="F18" s="107"/>
    </row>
    <row r="19">
      <c r="A19" s="105"/>
      <c r="B19" s="105"/>
      <c r="C19" s="106"/>
      <c r="D19" s="105"/>
      <c r="E19" s="106"/>
    </row>
    <row r="20" ht="15.75" customHeight="1">
      <c r="A20" s="105"/>
      <c r="B20" s="105"/>
      <c r="C20" s="106"/>
      <c r="D20" s="105"/>
      <c r="E20" s="106"/>
    </row>
    <row r="21" ht="15.75" customHeight="1">
      <c r="A21" s="105"/>
      <c r="B21" s="105"/>
      <c r="C21" s="106"/>
      <c r="D21" s="105"/>
      <c r="E21" s="106"/>
    </row>
    <row r="22" ht="15.75" customHeight="1">
      <c r="A22" s="105"/>
      <c r="B22" s="105"/>
      <c r="C22" s="106"/>
      <c r="D22" s="105"/>
      <c r="E22" s="106"/>
    </row>
    <row r="23" ht="15.75" customHeight="1">
      <c r="A23" s="105"/>
      <c r="B23" s="105"/>
      <c r="C23" s="106"/>
      <c r="D23" s="105"/>
      <c r="E23" s="106"/>
    </row>
    <row r="24" ht="15.75" customHeight="1">
      <c r="A24" s="105"/>
      <c r="B24" s="105"/>
      <c r="C24" s="106"/>
      <c r="D24" s="105"/>
      <c r="E24" s="106"/>
    </row>
    <row r="25" ht="15.75" customHeight="1">
      <c r="A25" s="105"/>
      <c r="B25" s="105"/>
      <c r="C25" s="106"/>
      <c r="D25" s="105"/>
      <c r="E25" s="106"/>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c r="C38" s="108"/>
      <c r="D38" s="109"/>
    </row>
    <row r="39" ht="15.75" customHeight="1">
      <c r="C39" s="108"/>
      <c r="D39" s="110"/>
    </row>
    <row r="40" ht="15.75" customHeight="1">
      <c r="C40" s="111"/>
      <c r="D40" s="112"/>
    </row>
    <row r="41" ht="15.75" customHeight="1">
      <c r="C41" s="108"/>
      <c r="D41" s="113"/>
    </row>
    <row r="42" ht="15.75" customHeight="1">
      <c r="C42" s="111"/>
      <c r="D42" s="113"/>
    </row>
    <row r="43" ht="15.75" customHeight="1">
      <c r="C43" s="114"/>
      <c r="D43" s="109"/>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2:D2"/>
  </mergeCells>
  <hyperlinks>
    <hyperlink r:id="rId1" ref="F16"/>
    <hyperlink r:id="rId2" ref="F17"/>
  </hyperlinks>
  <printOptions/>
  <pageMargins bottom="0.75" footer="0.0" header="0.0" left="0.7" right="0.7" top="0.75"/>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1DD"/>
    <pageSetUpPr/>
  </sheetPr>
  <sheetViews>
    <sheetView showGridLines="0" workbookViewId="0"/>
  </sheetViews>
  <sheetFormatPr customHeight="1" defaultColWidth="14.43" defaultRowHeight="15.0"/>
  <cols>
    <col customWidth="1" min="1" max="1" width="38.0"/>
    <col customWidth="1" min="2" max="2" width="45.14"/>
    <col customWidth="1" min="3" max="3" width="38.29"/>
    <col customWidth="1" min="4" max="4" width="45.0"/>
    <col customWidth="1" min="5" max="5" width="44.14"/>
    <col customWidth="1" min="6" max="6" width="38.0"/>
    <col customWidth="1" min="7" max="7" width="62.86"/>
    <col customWidth="1" min="8" max="8" width="24.0"/>
    <col customWidth="1" min="9" max="9" width="23.29"/>
    <col customWidth="1" min="10" max="10" width="30.14"/>
    <col customWidth="1" min="11" max="11" width="91.14"/>
    <col customWidth="1" min="12" max="12" width="34.43"/>
    <col customWidth="1" min="13" max="26" width="10.71"/>
  </cols>
  <sheetData>
    <row r="1" ht="18.75" customHeight="1">
      <c r="A1" s="115" t="str">
        <f>Instruction!A10</f>
        <v>Step 4</v>
      </c>
      <c r="B1" s="116" t="str">
        <f>Instruction!B10</f>
        <v>Recommend blended finance tool</v>
      </c>
      <c r="C1" s="117"/>
      <c r="D1" s="117"/>
      <c r="E1" s="118"/>
      <c r="F1" s="118"/>
      <c r="G1" s="118"/>
      <c r="H1" s="119"/>
      <c r="I1" s="119"/>
      <c r="J1" s="119"/>
      <c r="K1" s="119"/>
      <c r="L1" s="119"/>
      <c r="M1" s="119"/>
      <c r="N1" s="119"/>
      <c r="O1" s="119"/>
      <c r="P1" s="119"/>
      <c r="Q1" s="119"/>
      <c r="R1" s="119"/>
      <c r="S1" s="119"/>
      <c r="T1" s="119"/>
      <c r="U1" s="119"/>
      <c r="V1" s="119"/>
      <c r="W1" s="119"/>
      <c r="X1" s="119"/>
      <c r="Y1" s="119"/>
      <c r="Z1" s="119"/>
    </row>
    <row r="2">
      <c r="A2" s="120"/>
      <c r="B2" s="120"/>
      <c r="C2" s="120"/>
      <c r="D2" s="120"/>
      <c r="E2" s="119"/>
      <c r="F2" s="119"/>
      <c r="G2" s="119"/>
      <c r="H2" s="119"/>
      <c r="I2" s="73"/>
    </row>
    <row r="3" ht="21.0" customHeight="1">
      <c r="A3" s="121" t="s">
        <v>175</v>
      </c>
      <c r="B3" s="122"/>
      <c r="C3" s="122"/>
      <c r="D3" s="122"/>
      <c r="E3" s="123"/>
      <c r="F3" s="123"/>
      <c r="G3" s="123"/>
      <c r="H3" s="119"/>
      <c r="I3" s="73"/>
    </row>
    <row r="4">
      <c r="A4" s="27" t="s">
        <v>176</v>
      </c>
      <c r="G4" s="27"/>
      <c r="H4" s="20"/>
    </row>
    <row r="5">
      <c r="A5" s="20"/>
    </row>
    <row r="6">
      <c r="A6" s="124" t="s">
        <v>177</v>
      </c>
      <c r="B6" s="124" t="s">
        <v>20</v>
      </c>
      <c r="C6" s="124" t="s">
        <v>178</v>
      </c>
      <c r="D6" s="124" t="s">
        <v>179</v>
      </c>
      <c r="E6" s="124" t="s">
        <v>180</v>
      </c>
      <c r="F6" s="125" t="s">
        <v>181</v>
      </c>
    </row>
    <row r="7">
      <c r="A7" s="126" t="s">
        <v>182</v>
      </c>
      <c r="B7" s="127" t="s">
        <v>183</v>
      </c>
      <c r="C7" s="127" t="s">
        <v>184</v>
      </c>
      <c r="D7" s="128" t="s">
        <v>185</v>
      </c>
      <c r="E7" s="128" t="s">
        <v>186</v>
      </c>
      <c r="F7" s="129" t="s">
        <v>187</v>
      </c>
    </row>
    <row r="8">
      <c r="A8" s="126" t="s">
        <v>188</v>
      </c>
      <c r="B8" s="127" t="s">
        <v>189</v>
      </c>
      <c r="C8" s="127" t="s">
        <v>190</v>
      </c>
      <c r="D8" s="128" t="s">
        <v>191</v>
      </c>
      <c r="E8" s="128" t="s">
        <v>192</v>
      </c>
      <c r="F8" s="129" t="s">
        <v>193</v>
      </c>
    </row>
    <row r="9">
      <c r="A9" s="126" t="s">
        <v>194</v>
      </c>
      <c r="B9" s="127" t="s">
        <v>195</v>
      </c>
      <c r="C9" s="127" t="s">
        <v>196</v>
      </c>
      <c r="D9" s="128" t="s">
        <v>197</v>
      </c>
      <c r="E9" s="128" t="s">
        <v>198</v>
      </c>
      <c r="F9" s="129" t="s">
        <v>199</v>
      </c>
    </row>
    <row r="10">
      <c r="A10" s="126" t="s">
        <v>200</v>
      </c>
      <c r="B10" s="127" t="s">
        <v>201</v>
      </c>
      <c r="C10" s="127" t="s">
        <v>202</v>
      </c>
      <c r="D10" s="128" t="s">
        <v>203</v>
      </c>
      <c r="E10" s="128" t="s">
        <v>204</v>
      </c>
      <c r="F10" s="129" t="s">
        <v>205</v>
      </c>
    </row>
    <row r="11">
      <c r="A11" s="126" t="s">
        <v>206</v>
      </c>
      <c r="B11" s="127" t="s">
        <v>207</v>
      </c>
      <c r="C11" s="127" t="s">
        <v>208</v>
      </c>
      <c r="D11" s="128" t="s">
        <v>209</v>
      </c>
      <c r="E11" s="128" t="s">
        <v>210</v>
      </c>
      <c r="F11" s="129" t="s">
        <v>211</v>
      </c>
    </row>
    <row r="12">
      <c r="A12" s="126" t="s">
        <v>212</v>
      </c>
      <c r="B12" s="127" t="s">
        <v>213</v>
      </c>
      <c r="C12" s="127" t="s">
        <v>214</v>
      </c>
      <c r="D12" s="128" t="s">
        <v>215</v>
      </c>
      <c r="E12" s="128" t="s">
        <v>216</v>
      </c>
      <c r="F12" s="129" t="s">
        <v>217</v>
      </c>
    </row>
    <row r="14">
      <c r="A14" s="121" t="s">
        <v>218</v>
      </c>
      <c r="B14" s="122"/>
      <c r="C14" s="122"/>
      <c r="D14" s="122"/>
      <c r="E14" s="123"/>
      <c r="F14" s="123"/>
      <c r="G14" s="123"/>
    </row>
    <row r="15">
      <c r="A15" s="130" t="s">
        <v>219</v>
      </c>
    </row>
    <row r="17">
      <c r="A17" s="124" t="s">
        <v>220</v>
      </c>
      <c r="B17" s="124" t="s">
        <v>20</v>
      </c>
      <c r="C17" s="124" t="s">
        <v>221</v>
      </c>
      <c r="D17" s="131" t="s">
        <v>222</v>
      </c>
      <c r="E17" s="132" t="s">
        <v>223</v>
      </c>
      <c r="F17" s="124" t="s">
        <v>67</v>
      </c>
    </row>
    <row r="18">
      <c r="A18" s="133" t="s">
        <v>224</v>
      </c>
      <c r="B18" s="127" t="s">
        <v>225</v>
      </c>
      <c r="C18" s="134" t="s">
        <v>226</v>
      </c>
      <c r="D18" s="127" t="s">
        <v>227</v>
      </c>
      <c r="E18" s="127" t="s">
        <v>228</v>
      </c>
      <c r="F18" s="135" t="s">
        <v>229</v>
      </c>
      <c r="G18" s="20"/>
    </row>
    <row r="19">
      <c r="A19" s="133" t="s">
        <v>230</v>
      </c>
      <c r="B19" s="127" t="s">
        <v>231</v>
      </c>
      <c r="C19" s="134" t="s">
        <v>232</v>
      </c>
      <c r="D19" s="127" t="s">
        <v>233</v>
      </c>
      <c r="E19" s="127" t="s">
        <v>234</v>
      </c>
      <c r="F19" s="135" t="s">
        <v>235</v>
      </c>
      <c r="G19" s="20"/>
    </row>
    <row r="20">
      <c r="A20" s="133" t="s">
        <v>236</v>
      </c>
      <c r="B20" s="127" t="s">
        <v>237</v>
      </c>
      <c r="C20" s="134" t="s">
        <v>238</v>
      </c>
      <c r="D20" s="127" t="s">
        <v>239</v>
      </c>
      <c r="E20" s="127" t="s">
        <v>240</v>
      </c>
      <c r="F20" s="135" t="s">
        <v>241</v>
      </c>
      <c r="G20" s="20"/>
    </row>
    <row r="21">
      <c r="A21" s="133" t="s">
        <v>242</v>
      </c>
      <c r="B21" s="127" t="s">
        <v>243</v>
      </c>
      <c r="C21" s="134" t="s">
        <v>244</v>
      </c>
      <c r="D21" s="127" t="s">
        <v>245</v>
      </c>
      <c r="E21" s="127" t="s">
        <v>246</v>
      </c>
      <c r="F21" s="135" t="s">
        <v>241</v>
      </c>
      <c r="G21" s="20"/>
    </row>
    <row r="22">
      <c r="A22" s="133" t="s">
        <v>247</v>
      </c>
      <c r="B22" s="127" t="s">
        <v>248</v>
      </c>
      <c r="C22" s="134" t="s">
        <v>249</v>
      </c>
      <c r="D22" s="127" t="s">
        <v>250</v>
      </c>
      <c r="E22" s="127" t="s">
        <v>251</v>
      </c>
      <c r="F22" s="135" t="s">
        <v>229</v>
      </c>
      <c r="G22" s="20"/>
    </row>
    <row r="23" ht="15.75" customHeight="1">
      <c r="A23" s="133" t="s">
        <v>252</v>
      </c>
      <c r="B23" s="127" t="s">
        <v>253</v>
      </c>
      <c r="C23" s="134" t="s">
        <v>254</v>
      </c>
      <c r="D23" s="127" t="s">
        <v>255</v>
      </c>
      <c r="E23" s="127" t="s">
        <v>256</v>
      </c>
      <c r="F23" s="135" t="s">
        <v>235</v>
      </c>
      <c r="G23" s="20"/>
    </row>
    <row r="24" ht="15.75" customHeight="1">
      <c r="A24" s="126" t="s">
        <v>257</v>
      </c>
      <c r="B24" s="127" t="s">
        <v>258</v>
      </c>
      <c r="C24" s="134" t="s">
        <v>259</v>
      </c>
      <c r="D24" s="127" t="s">
        <v>245</v>
      </c>
      <c r="E24" s="127" t="s">
        <v>260</v>
      </c>
      <c r="F24" s="135" t="s">
        <v>235</v>
      </c>
      <c r="G24" s="20"/>
    </row>
    <row r="25" ht="15.75" customHeight="1"/>
    <row r="26" ht="15.75" customHeight="1">
      <c r="A26" s="136" t="s">
        <v>261</v>
      </c>
      <c r="B26" s="137"/>
      <c r="C26" s="138"/>
      <c r="D26" s="138"/>
      <c r="E26" s="138"/>
      <c r="F26" s="138"/>
      <c r="G26" s="138"/>
      <c r="H26" s="138"/>
      <c r="I26" s="138"/>
      <c r="J26" s="138"/>
      <c r="K26" s="138"/>
      <c r="L26" s="138"/>
    </row>
    <row r="27" ht="15.75" customHeight="1">
      <c r="A27" s="139" t="s">
        <v>262</v>
      </c>
      <c r="B27" s="140" t="s">
        <v>60</v>
      </c>
      <c r="C27" s="141"/>
      <c r="D27" s="142"/>
      <c r="E27" s="142"/>
      <c r="F27" s="142"/>
      <c r="G27" s="142"/>
      <c r="H27" s="142"/>
      <c r="I27" s="142"/>
      <c r="J27" s="142"/>
      <c r="K27" s="142"/>
      <c r="L27" s="142"/>
      <c r="M27" s="143"/>
      <c r="N27" s="143"/>
      <c r="O27" s="143"/>
      <c r="P27" s="143"/>
      <c r="Q27" s="143"/>
      <c r="R27" s="143"/>
      <c r="S27" s="143"/>
      <c r="T27" s="143"/>
      <c r="U27" s="143"/>
      <c r="V27" s="143"/>
      <c r="W27" s="143"/>
      <c r="X27" s="143"/>
      <c r="Y27" s="143"/>
      <c r="Z27" s="143"/>
    </row>
    <row r="28" ht="15.75" customHeight="1">
      <c r="A28" s="144" t="s">
        <v>263</v>
      </c>
      <c r="B28" s="145" t="s">
        <v>264</v>
      </c>
      <c r="C28" s="146"/>
      <c r="D28" s="147"/>
      <c r="E28" s="147"/>
      <c r="F28" s="147"/>
      <c r="G28" s="147"/>
      <c r="H28" s="147"/>
      <c r="I28" s="147"/>
      <c r="J28" s="147"/>
      <c r="K28" s="147"/>
      <c r="L28" s="147"/>
      <c r="M28" s="148"/>
      <c r="N28" s="148"/>
      <c r="O28" s="148"/>
      <c r="P28" s="148"/>
      <c r="Q28" s="148"/>
      <c r="R28" s="148"/>
      <c r="S28" s="148"/>
      <c r="T28" s="148"/>
      <c r="U28" s="148"/>
      <c r="V28" s="148"/>
      <c r="W28" s="148"/>
      <c r="X28" s="148"/>
      <c r="Y28" s="148"/>
      <c r="Z28" s="148"/>
    </row>
    <row r="29" ht="15.75" customHeight="1">
      <c r="A29" s="144" t="s">
        <v>265</v>
      </c>
      <c r="B29" s="145" t="s">
        <v>264</v>
      </c>
      <c r="C29" s="146"/>
      <c r="D29" s="146"/>
      <c r="E29" s="146"/>
      <c r="F29" s="146"/>
      <c r="G29" s="146"/>
      <c r="H29" s="146"/>
      <c r="I29" s="146"/>
      <c r="J29" s="146"/>
      <c r="K29" s="146"/>
      <c r="L29" s="146"/>
      <c r="M29" s="143"/>
      <c r="N29" s="143"/>
      <c r="O29" s="143"/>
      <c r="P29" s="143"/>
      <c r="Q29" s="143"/>
      <c r="R29" s="143"/>
      <c r="S29" s="143"/>
      <c r="T29" s="143"/>
      <c r="U29" s="143"/>
      <c r="V29" s="143"/>
      <c r="W29" s="143"/>
      <c r="X29" s="143"/>
      <c r="Y29" s="143"/>
      <c r="Z29" s="143"/>
    </row>
    <row r="30" ht="15.75" customHeight="1">
      <c r="A30" s="144" t="s">
        <v>266</v>
      </c>
      <c r="B30" s="145" t="s">
        <v>264</v>
      </c>
      <c r="C30" s="146"/>
    </row>
    <row r="31" ht="15.75" customHeight="1">
      <c r="A31" s="144" t="s">
        <v>267</v>
      </c>
      <c r="B31" s="145" t="s">
        <v>264</v>
      </c>
      <c r="C31" s="146"/>
    </row>
    <row r="32" ht="15.75" customHeight="1">
      <c r="A32" s="144" t="s">
        <v>268</v>
      </c>
      <c r="B32" s="145" t="s">
        <v>264</v>
      </c>
      <c r="C32" s="146"/>
    </row>
    <row r="33" ht="15.75" customHeight="1">
      <c r="A33" s="144" t="s">
        <v>269</v>
      </c>
      <c r="B33" s="145" t="s">
        <v>264</v>
      </c>
      <c r="C33" s="146"/>
    </row>
    <row r="34" ht="15.75" customHeight="1">
      <c r="A34" s="144" t="s">
        <v>270</v>
      </c>
      <c r="B34" s="145" t="s">
        <v>264</v>
      </c>
      <c r="C34" s="146"/>
    </row>
    <row r="35" ht="15.75" customHeight="1">
      <c r="A35" s="144" t="s">
        <v>271</v>
      </c>
      <c r="B35" s="145" t="s">
        <v>264</v>
      </c>
      <c r="C35" s="146"/>
    </row>
    <row r="36" ht="15.75" customHeight="1">
      <c r="A36" s="144" t="s">
        <v>272</v>
      </c>
      <c r="B36" s="145" t="s">
        <v>264</v>
      </c>
      <c r="C36" s="146"/>
    </row>
    <row r="37" ht="15.75" customHeight="1">
      <c r="A37" s="144" t="s">
        <v>273</v>
      </c>
      <c r="B37" s="145" t="s">
        <v>264</v>
      </c>
      <c r="C37" s="146"/>
    </row>
    <row r="38" ht="15.75" customHeight="1">
      <c r="A38" s="144" t="s">
        <v>274</v>
      </c>
      <c r="B38" s="145" t="s">
        <v>264</v>
      </c>
      <c r="C38" s="146"/>
    </row>
    <row r="39" ht="15.75" customHeight="1"/>
    <row r="40" ht="15.75" customHeight="1"/>
    <row r="41" ht="15.75" customHeight="1">
      <c r="A41" s="149" t="s">
        <v>275</v>
      </c>
      <c r="B41" s="150"/>
      <c r="C41" s="150"/>
      <c r="D41" s="151"/>
      <c r="E41" s="7"/>
      <c r="F41" s="7"/>
      <c r="G41" s="7"/>
    </row>
    <row r="42" ht="15.75" customHeight="1"/>
    <row r="43" ht="15.75" customHeight="1">
      <c r="A43" s="152" t="s">
        <v>276</v>
      </c>
      <c r="B43" s="152" t="s">
        <v>277</v>
      </c>
      <c r="C43" s="152" t="s">
        <v>278</v>
      </c>
    </row>
    <row r="44" ht="15.75" customHeight="1">
      <c r="A44" s="153">
        <v>1.0</v>
      </c>
      <c r="B44" s="154" t="s">
        <v>279</v>
      </c>
      <c r="C44" s="154" t="s">
        <v>280</v>
      </c>
    </row>
    <row r="45" ht="15.75" customHeight="1">
      <c r="A45" s="153">
        <v>2.0</v>
      </c>
      <c r="B45" s="154" t="s">
        <v>281</v>
      </c>
      <c r="C45" s="154" t="s">
        <v>282</v>
      </c>
    </row>
    <row r="46" ht="15.75" customHeight="1">
      <c r="A46" s="153">
        <v>3.0</v>
      </c>
      <c r="B46" s="154" t="s">
        <v>283</v>
      </c>
      <c r="C46" s="154" t="s">
        <v>284</v>
      </c>
    </row>
    <row r="47" ht="15.75" customHeight="1">
      <c r="A47" s="153">
        <v>4.0</v>
      </c>
      <c r="B47" s="154" t="s">
        <v>285</v>
      </c>
      <c r="C47" s="154" t="s">
        <v>286</v>
      </c>
    </row>
    <row r="48" ht="15.75" customHeight="1">
      <c r="A48" s="155">
        <v>5.0</v>
      </c>
      <c r="B48" s="156" t="s">
        <v>287</v>
      </c>
      <c r="C48" s="156" t="s">
        <v>288</v>
      </c>
    </row>
    <row r="49" ht="15.75" customHeight="1">
      <c r="A49" s="155">
        <v>6.0</v>
      </c>
      <c r="B49" s="156" t="s">
        <v>289</v>
      </c>
      <c r="C49" s="156" t="s">
        <v>290</v>
      </c>
    </row>
    <row r="50" ht="15.75" customHeight="1">
      <c r="A50" s="155">
        <v>7.0</v>
      </c>
      <c r="B50" s="156" t="s">
        <v>291</v>
      </c>
      <c r="C50" s="156" t="s">
        <v>292</v>
      </c>
    </row>
    <row r="51" ht="15.75" customHeight="1">
      <c r="A51" s="155">
        <v>8.0</v>
      </c>
      <c r="B51" s="156" t="s">
        <v>293</v>
      </c>
      <c r="C51" s="156" t="s">
        <v>294</v>
      </c>
    </row>
    <row r="52" ht="15.75" customHeight="1">
      <c r="A52" s="155">
        <v>9.0</v>
      </c>
      <c r="B52" s="156" t="s">
        <v>295</v>
      </c>
      <c r="C52" s="156" t="s">
        <v>296</v>
      </c>
    </row>
    <row r="53" ht="15.75" customHeight="1">
      <c r="A53" s="155">
        <v>10.0</v>
      </c>
      <c r="B53" s="156" t="s">
        <v>297</v>
      </c>
      <c r="C53" s="156" t="s">
        <v>298</v>
      </c>
    </row>
    <row r="54" ht="15.75" customHeight="1"/>
    <row r="55" ht="15.75" customHeight="1">
      <c r="A55" s="43" t="s">
        <v>299</v>
      </c>
      <c r="B55" s="73"/>
      <c r="C55" s="73"/>
    </row>
    <row r="56" ht="15.75" customHeight="1">
      <c r="A56" s="157" t="s">
        <v>300</v>
      </c>
      <c r="B56" s="150"/>
      <c r="C56" s="151"/>
    </row>
    <row r="57" ht="15.75" customHeight="1">
      <c r="A57" s="157" t="s">
        <v>301</v>
      </c>
      <c r="B57" s="150"/>
      <c r="C57" s="151"/>
    </row>
    <row r="58" ht="15.75" customHeight="1">
      <c r="A58" s="157" t="s">
        <v>302</v>
      </c>
      <c r="B58" s="150"/>
      <c r="C58" s="151"/>
    </row>
    <row r="59" ht="15.75" customHeight="1">
      <c r="A59" s="157" t="s">
        <v>303</v>
      </c>
      <c r="B59" s="150"/>
      <c r="C59" s="151"/>
    </row>
    <row r="60" ht="15.75" customHeight="1"/>
    <row r="61" ht="15.75" customHeight="1">
      <c r="A61" s="149" t="s">
        <v>304</v>
      </c>
      <c r="B61" s="150"/>
      <c r="C61" s="150"/>
      <c r="D61" s="151"/>
      <c r="E61" s="7"/>
      <c r="F61" s="7"/>
      <c r="G61" s="7"/>
    </row>
    <row r="62" ht="15.75" customHeight="1"/>
    <row r="63" ht="15.0" customHeight="1">
      <c r="A63" s="158" t="s">
        <v>60</v>
      </c>
      <c r="B63" s="159" t="s">
        <v>83</v>
      </c>
      <c r="H63" s="73"/>
      <c r="I63" s="73"/>
      <c r="J63" s="73"/>
      <c r="K63" s="73"/>
      <c r="L63" s="73"/>
    </row>
    <row r="64" ht="15.75" customHeight="1">
      <c r="A64" s="160" t="s">
        <v>305</v>
      </c>
      <c r="B64" s="20" t="s">
        <v>306</v>
      </c>
      <c r="H64" s="73"/>
      <c r="I64" s="73"/>
      <c r="J64" s="73"/>
      <c r="K64" s="73"/>
      <c r="L64" s="73"/>
    </row>
    <row r="65" ht="15.75" customHeight="1">
      <c r="A65" s="160" t="s">
        <v>307</v>
      </c>
      <c r="B65" s="27" t="s">
        <v>161</v>
      </c>
      <c r="H65" s="73"/>
      <c r="I65" s="73"/>
      <c r="J65" s="73"/>
      <c r="K65" s="73"/>
      <c r="L65" s="73"/>
    </row>
    <row r="66" ht="15.75" customHeight="1">
      <c r="A66" s="161" t="s">
        <v>308</v>
      </c>
      <c r="B66" s="162" t="str">
        <f t="array" ref="B66">INDEX(A71:A76,MATCH(MAX(I71:I76),I71:I76,0))</f>
        <v>Outcome-Based Incentives</v>
      </c>
      <c r="C66" s="73"/>
      <c r="D66" s="73"/>
      <c r="E66" s="73"/>
      <c r="F66" s="73"/>
      <c r="G66" s="73"/>
      <c r="H66" s="73"/>
      <c r="I66" s="163"/>
      <c r="J66" s="73"/>
      <c r="K66" s="73"/>
      <c r="L66" s="73"/>
    </row>
    <row r="67" ht="15.75" customHeight="1">
      <c r="A67" s="164" t="s">
        <v>309</v>
      </c>
      <c r="B67" s="165">
        <f>MAX(I71:I76)</f>
        <v>8.428571429</v>
      </c>
      <c r="C67" s="73"/>
      <c r="D67" s="73"/>
      <c r="E67" s="73"/>
      <c r="F67" s="73"/>
      <c r="G67" s="73"/>
      <c r="H67" s="73"/>
      <c r="I67" s="163"/>
      <c r="J67" s="73"/>
      <c r="K67" s="73"/>
      <c r="L67" s="73"/>
    </row>
    <row r="68" ht="15.75" customHeight="1">
      <c r="A68" s="164" t="s">
        <v>310</v>
      </c>
      <c r="B68" s="166" t="s">
        <v>311</v>
      </c>
      <c r="H68" s="73"/>
      <c r="I68" s="73"/>
      <c r="J68" s="73"/>
      <c r="K68" s="73"/>
      <c r="L68" s="73"/>
    </row>
    <row r="69" ht="15.75" customHeight="1">
      <c r="A69" s="73"/>
      <c r="B69" s="73"/>
      <c r="C69" s="73"/>
      <c r="D69" s="73"/>
      <c r="E69" s="73"/>
      <c r="F69" s="73"/>
      <c r="G69" s="73"/>
      <c r="H69" s="73"/>
      <c r="I69" s="163"/>
      <c r="J69" s="73"/>
      <c r="K69" s="73"/>
      <c r="L69" s="73"/>
    </row>
    <row r="70" ht="15.75" customHeight="1">
      <c r="A70" s="167" t="s">
        <v>177</v>
      </c>
      <c r="B70" s="167" t="s">
        <v>224</v>
      </c>
      <c r="C70" s="167" t="s">
        <v>230</v>
      </c>
      <c r="D70" s="167" t="s">
        <v>236</v>
      </c>
      <c r="E70" s="167" t="s">
        <v>242</v>
      </c>
      <c r="F70" s="167" t="s">
        <v>247</v>
      </c>
      <c r="G70" s="167" t="s">
        <v>252</v>
      </c>
      <c r="H70" s="167" t="s">
        <v>312</v>
      </c>
      <c r="I70" s="167" t="s">
        <v>313</v>
      </c>
      <c r="J70" s="167" t="s">
        <v>314</v>
      </c>
      <c r="K70" s="167" t="s">
        <v>315</v>
      </c>
    </row>
    <row r="71" ht="15.75" customHeight="1">
      <c r="A71" s="126" t="s">
        <v>182</v>
      </c>
      <c r="B71" s="168">
        <v>6.0</v>
      </c>
      <c r="C71" s="168">
        <v>3.0</v>
      </c>
      <c r="D71" s="168">
        <v>4.0</v>
      </c>
      <c r="E71" s="168">
        <v>8.0</v>
      </c>
      <c r="F71" s="168">
        <v>7.0</v>
      </c>
      <c r="G71" s="168">
        <v>8.0</v>
      </c>
      <c r="H71" s="168">
        <v>6.0</v>
      </c>
      <c r="I71" s="169">
        <f t="shared" ref="I71:I76" si="1">AVERAGE(B71:H71)</f>
        <v>6</v>
      </c>
      <c r="J71" s="168">
        <f t="shared" ref="J71:J76" si="2">RANK(I71,$I$71:$I$76,0)</f>
        <v>2</v>
      </c>
      <c r="K71" s="170" t="s">
        <v>316</v>
      </c>
    </row>
    <row r="72" ht="15.75" customHeight="1">
      <c r="A72" s="126" t="s">
        <v>188</v>
      </c>
      <c r="B72" s="168">
        <v>2.0</v>
      </c>
      <c r="C72" s="168">
        <v>4.0</v>
      </c>
      <c r="D72" s="168">
        <v>2.0</v>
      </c>
      <c r="E72" s="168">
        <v>2.0</v>
      </c>
      <c r="F72" s="168">
        <v>6.0</v>
      </c>
      <c r="G72" s="168">
        <v>4.0</v>
      </c>
      <c r="H72" s="168">
        <v>3.0</v>
      </c>
      <c r="I72" s="169">
        <f t="shared" si="1"/>
        <v>3.285714286</v>
      </c>
      <c r="J72" s="168">
        <f t="shared" si="2"/>
        <v>4</v>
      </c>
      <c r="K72" s="170" t="s">
        <v>317</v>
      </c>
    </row>
    <row r="73" ht="15.75" customHeight="1">
      <c r="A73" s="126" t="s">
        <v>194</v>
      </c>
      <c r="B73" s="168">
        <v>2.0</v>
      </c>
      <c r="C73" s="168">
        <v>5.0</v>
      </c>
      <c r="D73" s="168">
        <v>3.0</v>
      </c>
      <c r="E73" s="168">
        <v>2.0</v>
      </c>
      <c r="F73" s="168">
        <v>4.0</v>
      </c>
      <c r="G73" s="168">
        <v>3.0</v>
      </c>
      <c r="H73" s="168">
        <v>3.0</v>
      </c>
      <c r="I73" s="169">
        <f t="shared" si="1"/>
        <v>3.142857143</v>
      </c>
      <c r="J73" s="168">
        <f t="shared" si="2"/>
        <v>5</v>
      </c>
      <c r="K73" s="170" t="s">
        <v>318</v>
      </c>
    </row>
    <row r="74" ht="15.75" customHeight="1">
      <c r="A74" s="126" t="s">
        <v>200</v>
      </c>
      <c r="B74" s="168">
        <v>3.0</v>
      </c>
      <c r="C74" s="168">
        <v>4.0</v>
      </c>
      <c r="D74" s="168">
        <v>3.0</v>
      </c>
      <c r="E74" s="168">
        <v>4.0</v>
      </c>
      <c r="F74" s="168">
        <v>5.0</v>
      </c>
      <c r="G74" s="168">
        <v>5.0</v>
      </c>
      <c r="H74" s="168">
        <v>4.0</v>
      </c>
      <c r="I74" s="169">
        <f t="shared" si="1"/>
        <v>4</v>
      </c>
      <c r="J74" s="168">
        <f t="shared" si="2"/>
        <v>3</v>
      </c>
      <c r="K74" s="170" t="s">
        <v>319</v>
      </c>
    </row>
    <row r="75" ht="15.75" customHeight="1">
      <c r="A75" s="126" t="s">
        <v>206</v>
      </c>
      <c r="B75" s="168">
        <v>1.0</v>
      </c>
      <c r="C75" s="168">
        <v>1.0</v>
      </c>
      <c r="D75" s="168">
        <v>1.0</v>
      </c>
      <c r="E75" s="168">
        <v>1.0</v>
      </c>
      <c r="F75" s="168">
        <v>2.0</v>
      </c>
      <c r="G75" s="168">
        <v>2.0</v>
      </c>
      <c r="H75" s="168">
        <v>1.0</v>
      </c>
      <c r="I75" s="169">
        <f t="shared" si="1"/>
        <v>1.285714286</v>
      </c>
      <c r="J75" s="168">
        <f t="shared" si="2"/>
        <v>6</v>
      </c>
      <c r="K75" s="170" t="s">
        <v>320</v>
      </c>
    </row>
    <row r="76" ht="15.75" customHeight="1">
      <c r="A76" s="126" t="s">
        <v>212</v>
      </c>
      <c r="B76" s="168">
        <v>10.0</v>
      </c>
      <c r="C76" s="168">
        <v>7.0</v>
      </c>
      <c r="D76" s="168">
        <v>8.0</v>
      </c>
      <c r="E76" s="168">
        <v>9.0</v>
      </c>
      <c r="F76" s="168">
        <v>8.0</v>
      </c>
      <c r="G76" s="168">
        <v>7.0</v>
      </c>
      <c r="H76" s="168">
        <v>10.0</v>
      </c>
      <c r="I76" s="169">
        <f t="shared" si="1"/>
        <v>8.428571429</v>
      </c>
      <c r="J76" s="168">
        <f t="shared" si="2"/>
        <v>1</v>
      </c>
      <c r="K76" s="170" t="s">
        <v>321</v>
      </c>
    </row>
    <row r="77" ht="15.75" customHeight="1"/>
    <row r="78" ht="15.75" customHeight="1"/>
    <row r="79" ht="15.75" customHeight="1">
      <c r="A79" s="158" t="s">
        <v>60</v>
      </c>
      <c r="B79" s="159" t="s">
        <v>93</v>
      </c>
      <c r="C79" s="73"/>
      <c r="D79" s="73"/>
      <c r="E79" s="73"/>
      <c r="F79" s="73"/>
      <c r="G79" s="73"/>
    </row>
    <row r="80" ht="15.75" customHeight="1">
      <c r="A80" s="160" t="s">
        <v>305</v>
      </c>
      <c r="B80" s="20" t="s">
        <v>322</v>
      </c>
    </row>
    <row r="81" ht="15.75" customHeight="1">
      <c r="A81" s="160" t="s">
        <v>307</v>
      </c>
      <c r="B81" s="27" t="s">
        <v>149</v>
      </c>
    </row>
    <row r="82" ht="15.75" customHeight="1">
      <c r="A82" s="161" t="s">
        <v>308</v>
      </c>
      <c r="B82" s="162" t="str">
        <f t="array" ref="B82">INDEX(A87:A92,MATCH(MAX(I87:I92),I87:I92,0))</f>
        <v>Concessional Loans</v>
      </c>
      <c r="C82" s="73"/>
      <c r="D82" s="73"/>
      <c r="E82" s="73"/>
      <c r="F82" s="73"/>
      <c r="G82" s="73"/>
    </row>
    <row r="83" ht="15.75" customHeight="1">
      <c r="A83" s="164" t="s">
        <v>309</v>
      </c>
      <c r="B83" s="165">
        <f>MAX(I87:I92)</f>
        <v>8.285714286</v>
      </c>
      <c r="C83" s="73"/>
      <c r="D83" s="73"/>
      <c r="E83" s="73"/>
      <c r="F83" s="73"/>
      <c r="G83" s="73"/>
    </row>
    <row r="84" ht="15.75" customHeight="1">
      <c r="A84" s="164" t="s">
        <v>310</v>
      </c>
      <c r="B84" s="166" t="s">
        <v>323</v>
      </c>
    </row>
    <row r="85" ht="15.75" customHeight="1"/>
    <row r="86" ht="15.75" customHeight="1">
      <c r="A86" s="167" t="s">
        <v>177</v>
      </c>
      <c r="B86" s="167" t="s">
        <v>224</v>
      </c>
      <c r="C86" s="167" t="s">
        <v>230</v>
      </c>
      <c r="D86" s="167" t="s">
        <v>236</v>
      </c>
      <c r="E86" s="167" t="s">
        <v>242</v>
      </c>
      <c r="F86" s="167" t="s">
        <v>247</v>
      </c>
      <c r="G86" s="167" t="s">
        <v>252</v>
      </c>
      <c r="H86" s="167" t="s">
        <v>312</v>
      </c>
      <c r="I86" s="167" t="s">
        <v>313</v>
      </c>
      <c r="J86" s="167" t="s">
        <v>314</v>
      </c>
      <c r="K86" s="167" t="s">
        <v>315</v>
      </c>
    </row>
    <row r="87" ht="15.75" customHeight="1">
      <c r="A87" s="126" t="s">
        <v>182</v>
      </c>
      <c r="B87" s="168">
        <v>5.0</v>
      </c>
      <c r="C87" s="168">
        <v>2.0</v>
      </c>
      <c r="D87" s="168">
        <v>4.0</v>
      </c>
      <c r="E87" s="168">
        <v>6.0</v>
      </c>
      <c r="F87" s="168">
        <v>8.0</v>
      </c>
      <c r="G87" s="168">
        <v>8.0</v>
      </c>
      <c r="H87" s="168">
        <v>5.0</v>
      </c>
      <c r="I87" s="169">
        <f t="shared" ref="I87:I92" si="3">AVERAGE(B87:H87)</f>
        <v>5.428571429</v>
      </c>
      <c r="J87" s="168">
        <f t="shared" ref="J87:J92" si="4">RANK(I87,$I$87:$I$92,0)</f>
        <v>4</v>
      </c>
      <c r="K87" s="170" t="s">
        <v>324</v>
      </c>
    </row>
    <row r="88" ht="15.75" customHeight="1">
      <c r="A88" s="126" t="s">
        <v>188</v>
      </c>
      <c r="B88" s="168">
        <v>7.0</v>
      </c>
      <c r="C88" s="168">
        <v>8.0</v>
      </c>
      <c r="D88" s="168">
        <v>7.0</v>
      </c>
      <c r="E88" s="168">
        <v>6.0</v>
      </c>
      <c r="F88" s="168">
        <v>6.0</v>
      </c>
      <c r="G88" s="168">
        <v>6.0</v>
      </c>
      <c r="H88" s="168">
        <v>6.0</v>
      </c>
      <c r="I88" s="169">
        <f t="shared" si="3"/>
        <v>6.571428571</v>
      </c>
      <c r="J88" s="168">
        <f t="shared" si="4"/>
        <v>2</v>
      </c>
      <c r="K88" s="170" t="s">
        <v>325</v>
      </c>
    </row>
    <row r="89" ht="15.75" customHeight="1">
      <c r="A89" s="126" t="s">
        <v>194</v>
      </c>
      <c r="B89" s="168">
        <v>5.0</v>
      </c>
      <c r="C89" s="168">
        <v>8.0</v>
      </c>
      <c r="D89" s="168">
        <v>7.0</v>
      </c>
      <c r="E89" s="168">
        <v>6.0</v>
      </c>
      <c r="F89" s="168">
        <v>4.0</v>
      </c>
      <c r="G89" s="168">
        <v>4.0</v>
      </c>
      <c r="H89" s="168">
        <v>6.0</v>
      </c>
      <c r="I89" s="169">
        <f t="shared" si="3"/>
        <v>5.714285714</v>
      </c>
      <c r="J89" s="168">
        <f t="shared" si="4"/>
        <v>3</v>
      </c>
      <c r="K89" s="170" t="s">
        <v>326</v>
      </c>
    </row>
    <row r="90" ht="15.75" customHeight="1">
      <c r="A90" s="126" t="s">
        <v>200</v>
      </c>
      <c r="B90" s="168">
        <v>10.0</v>
      </c>
      <c r="C90" s="168">
        <v>8.0</v>
      </c>
      <c r="D90" s="168">
        <v>9.0</v>
      </c>
      <c r="E90" s="168">
        <v>8.0</v>
      </c>
      <c r="F90" s="168">
        <v>8.0</v>
      </c>
      <c r="G90" s="168">
        <v>8.0</v>
      </c>
      <c r="H90" s="168">
        <v>7.0</v>
      </c>
      <c r="I90" s="169">
        <f t="shared" si="3"/>
        <v>8.285714286</v>
      </c>
      <c r="J90" s="168">
        <f t="shared" si="4"/>
        <v>1</v>
      </c>
      <c r="K90" s="170" t="s">
        <v>327</v>
      </c>
    </row>
    <row r="91" ht="15.75" customHeight="1">
      <c r="A91" s="126" t="s">
        <v>206</v>
      </c>
      <c r="B91" s="168">
        <v>3.0</v>
      </c>
      <c r="C91" s="168">
        <v>3.0</v>
      </c>
      <c r="D91" s="168">
        <v>2.0</v>
      </c>
      <c r="E91" s="168">
        <v>2.0</v>
      </c>
      <c r="F91" s="168">
        <v>6.0</v>
      </c>
      <c r="G91" s="168">
        <v>5.0</v>
      </c>
      <c r="H91" s="168">
        <v>3.0</v>
      </c>
      <c r="I91" s="169">
        <f t="shared" si="3"/>
        <v>3.428571429</v>
      </c>
      <c r="J91" s="168">
        <f t="shared" si="4"/>
        <v>5</v>
      </c>
      <c r="K91" s="170" t="s">
        <v>328</v>
      </c>
    </row>
    <row r="92" ht="15.75" customHeight="1">
      <c r="A92" s="126" t="s">
        <v>212</v>
      </c>
      <c r="B92" s="168">
        <v>2.0</v>
      </c>
      <c r="C92" s="168">
        <v>2.0</v>
      </c>
      <c r="D92" s="168">
        <v>2.0</v>
      </c>
      <c r="E92" s="168">
        <v>5.0</v>
      </c>
      <c r="F92" s="168">
        <v>4.0</v>
      </c>
      <c r="G92" s="168">
        <v>3.0</v>
      </c>
      <c r="H92" s="168">
        <v>5.0</v>
      </c>
      <c r="I92" s="169">
        <f t="shared" si="3"/>
        <v>3.285714286</v>
      </c>
      <c r="J92" s="168">
        <f t="shared" si="4"/>
        <v>6</v>
      </c>
      <c r="K92" s="170" t="s">
        <v>329</v>
      </c>
    </row>
    <row r="93" ht="15.75" customHeight="1"/>
    <row r="94" ht="15.75" customHeight="1"/>
    <row r="95" ht="15.75" customHeight="1">
      <c r="A95" s="139" t="s">
        <v>262</v>
      </c>
      <c r="B95" s="140" t="s">
        <v>330</v>
      </c>
      <c r="C95" s="171" t="s">
        <v>331</v>
      </c>
    </row>
    <row r="96" ht="15.75" customHeight="1">
      <c r="A96" s="144" t="s">
        <v>263</v>
      </c>
      <c r="B96" s="172" t="s">
        <v>332</v>
      </c>
      <c r="C96" s="173" t="s">
        <v>333</v>
      </c>
    </row>
    <row r="97" ht="15.75" customHeight="1">
      <c r="A97" s="144" t="s">
        <v>265</v>
      </c>
      <c r="B97" s="172" t="s">
        <v>334</v>
      </c>
      <c r="C97" s="173" t="s">
        <v>335</v>
      </c>
    </row>
    <row r="98" ht="15.75" customHeight="1">
      <c r="A98" s="144" t="s">
        <v>266</v>
      </c>
      <c r="B98" s="172" t="s">
        <v>336</v>
      </c>
      <c r="C98" s="173" t="s">
        <v>337</v>
      </c>
    </row>
    <row r="99" ht="15.75" customHeight="1">
      <c r="A99" s="144" t="s">
        <v>267</v>
      </c>
      <c r="B99" s="172" t="s">
        <v>338</v>
      </c>
      <c r="C99" s="173" t="s">
        <v>339</v>
      </c>
    </row>
    <row r="100" ht="15.75" customHeight="1">
      <c r="A100" s="144" t="s">
        <v>268</v>
      </c>
      <c r="B100" s="172" t="s">
        <v>340</v>
      </c>
      <c r="C100" s="173" t="s">
        <v>341</v>
      </c>
    </row>
    <row r="101" ht="15.75" customHeight="1">
      <c r="A101" s="144" t="s">
        <v>269</v>
      </c>
      <c r="B101" s="172" t="s">
        <v>342</v>
      </c>
      <c r="C101" s="173" t="s">
        <v>341</v>
      </c>
    </row>
    <row r="102" ht="15.75" customHeight="1">
      <c r="A102" s="144" t="s">
        <v>270</v>
      </c>
      <c r="B102" s="172" t="s">
        <v>343</v>
      </c>
      <c r="C102" s="173" t="s">
        <v>341</v>
      </c>
    </row>
    <row r="103" ht="15.75" customHeight="1">
      <c r="A103" s="144" t="s">
        <v>271</v>
      </c>
      <c r="B103" s="172" t="s">
        <v>344</v>
      </c>
      <c r="C103" s="173" t="s">
        <v>345</v>
      </c>
    </row>
    <row r="104" ht="15.75" customHeight="1">
      <c r="A104" s="144" t="s">
        <v>272</v>
      </c>
      <c r="B104" s="172" t="s">
        <v>346</v>
      </c>
      <c r="C104" s="173" t="s">
        <v>347</v>
      </c>
    </row>
    <row r="105" ht="15.75" customHeight="1">
      <c r="A105" s="144" t="s">
        <v>273</v>
      </c>
      <c r="B105" s="172" t="s">
        <v>348</v>
      </c>
      <c r="C105" s="173" t="s">
        <v>349</v>
      </c>
    </row>
    <row r="106" ht="15.75" customHeight="1">
      <c r="A106" s="144" t="s">
        <v>274</v>
      </c>
      <c r="B106" s="172" t="s">
        <v>350</v>
      </c>
      <c r="C106" s="173" t="s">
        <v>351</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16">
    <mergeCell ref="A4:F4"/>
    <mergeCell ref="A5:H5"/>
    <mergeCell ref="A15:F15"/>
    <mergeCell ref="A41:D41"/>
    <mergeCell ref="A56:C56"/>
    <mergeCell ref="A57:C57"/>
    <mergeCell ref="A58:C58"/>
    <mergeCell ref="B81:G81"/>
    <mergeCell ref="B84:G84"/>
    <mergeCell ref="A59:C59"/>
    <mergeCell ref="A61:D61"/>
    <mergeCell ref="B63:G63"/>
    <mergeCell ref="B64:G64"/>
    <mergeCell ref="B65:G65"/>
    <mergeCell ref="B68:G68"/>
    <mergeCell ref="B80:G80"/>
  </mergeCells>
  <hyperlinks>
    <hyperlink r:id="rId1" ref="F18"/>
    <hyperlink r:id="rId2" ref="F19"/>
    <hyperlink r:id="rId3" ref="F20"/>
    <hyperlink r:id="rId4" ref="F21"/>
    <hyperlink r:id="rId5" ref="F22"/>
    <hyperlink r:id="rId6" ref="F23"/>
    <hyperlink r:id="rId7" ref="F24"/>
  </hyperlinks>
  <printOptions/>
  <pageMargins bottom="0.75" footer="0.0" header="0.0" left="0.7" right="0.7" top="0.75"/>
  <pageSetup orientation="landscape"/>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DBDB"/>
    <pageSetUpPr/>
  </sheetPr>
  <sheetViews>
    <sheetView showGridLines="0" workbookViewId="0"/>
  </sheetViews>
  <sheetFormatPr customHeight="1" defaultColWidth="14.43" defaultRowHeight="15.0"/>
  <cols>
    <col customWidth="1" min="1" max="1" width="38.0"/>
    <col customWidth="1" min="2" max="2" width="45.14"/>
    <col customWidth="1" min="3" max="3" width="55.0"/>
    <col customWidth="1" min="4" max="4" width="38.29"/>
    <col customWidth="1" min="5" max="5" width="45.0"/>
    <col customWidth="1" min="6" max="6" width="44.14"/>
    <col customWidth="1" min="7" max="7" width="31.71"/>
    <col customWidth="1" min="8" max="8" width="62.86"/>
    <col customWidth="1" min="9" max="9" width="47.43"/>
    <col customWidth="1" min="10" max="10" width="139.71"/>
    <col customWidth="1" min="11" max="11" width="4.86"/>
    <col customWidth="1" min="12" max="12" width="91.14"/>
    <col customWidth="1" min="13" max="26" width="10.71"/>
  </cols>
  <sheetData>
    <row r="1" ht="18.75" customHeight="1">
      <c r="A1" s="115" t="str">
        <f>Instruction!A11</f>
        <v>Step 5</v>
      </c>
      <c r="B1" s="116" t="str">
        <f>Instruction!B11</f>
        <v>Recommend a global expansion option for RPA</v>
      </c>
      <c r="C1" s="116"/>
      <c r="D1" s="117"/>
      <c r="E1" s="117"/>
      <c r="F1" s="118"/>
      <c r="G1" s="118"/>
      <c r="H1" s="118"/>
      <c r="I1" s="119"/>
      <c r="J1" s="119"/>
      <c r="K1" s="119"/>
      <c r="L1" s="119"/>
      <c r="M1" s="119"/>
      <c r="N1" s="119"/>
      <c r="O1" s="119"/>
      <c r="P1" s="119"/>
      <c r="Q1" s="119"/>
      <c r="R1" s="119"/>
      <c r="S1" s="119"/>
      <c r="T1" s="119"/>
      <c r="U1" s="119"/>
      <c r="V1" s="119"/>
      <c r="W1" s="119"/>
      <c r="X1" s="119"/>
      <c r="Y1" s="119"/>
      <c r="Z1" s="119"/>
    </row>
    <row r="2">
      <c r="A2" s="120"/>
      <c r="B2" s="120"/>
      <c r="C2" s="120"/>
      <c r="D2" s="120"/>
      <c r="E2" s="120"/>
      <c r="F2" s="119"/>
      <c r="G2" s="119"/>
      <c r="H2" s="119"/>
      <c r="I2" s="119"/>
      <c r="J2" s="73"/>
    </row>
    <row r="3" ht="21.0" customHeight="1">
      <c r="A3" s="121" t="s">
        <v>352</v>
      </c>
      <c r="B3" s="122"/>
      <c r="C3" s="122"/>
      <c r="D3" s="122"/>
      <c r="E3" s="122"/>
      <c r="F3" s="123"/>
      <c r="G3" s="123"/>
      <c r="H3" s="123"/>
      <c r="I3" s="119"/>
      <c r="J3" s="73"/>
    </row>
    <row r="4">
      <c r="A4" s="20"/>
    </row>
    <row r="5">
      <c r="A5" s="174" t="s">
        <v>63</v>
      </c>
      <c r="B5" s="174" t="s">
        <v>20</v>
      </c>
      <c r="C5" s="174" t="s">
        <v>353</v>
      </c>
      <c r="D5" s="174" t="s">
        <v>354</v>
      </c>
      <c r="E5" s="174" t="s">
        <v>355</v>
      </c>
      <c r="F5" s="131" t="s">
        <v>356</v>
      </c>
    </row>
    <row r="6">
      <c r="A6" s="175" t="s">
        <v>357</v>
      </c>
      <c r="B6" s="176" t="s">
        <v>358</v>
      </c>
      <c r="C6" s="127" t="s">
        <v>359</v>
      </c>
      <c r="D6" s="177" t="s">
        <v>360</v>
      </c>
      <c r="E6" s="177" t="s">
        <v>361</v>
      </c>
      <c r="F6" s="127" t="s">
        <v>362</v>
      </c>
    </row>
    <row r="7">
      <c r="A7" s="175" t="s">
        <v>363</v>
      </c>
      <c r="B7" s="176" t="s">
        <v>364</v>
      </c>
      <c r="C7" s="127" t="s">
        <v>365</v>
      </c>
      <c r="D7" s="177" t="s">
        <v>366</v>
      </c>
      <c r="E7" s="177" t="s">
        <v>367</v>
      </c>
      <c r="F7" s="127" t="s">
        <v>368</v>
      </c>
    </row>
    <row r="8">
      <c r="A8" s="175" t="s">
        <v>369</v>
      </c>
      <c r="B8" s="176" t="s">
        <v>370</v>
      </c>
      <c r="C8" s="127" t="s">
        <v>371</v>
      </c>
      <c r="D8" s="177" t="s">
        <v>372</v>
      </c>
      <c r="E8" s="177" t="s">
        <v>373</v>
      </c>
      <c r="F8" s="127" t="s">
        <v>374</v>
      </c>
    </row>
    <row r="9">
      <c r="A9" s="175" t="s">
        <v>375</v>
      </c>
      <c r="B9" s="176" t="s">
        <v>376</v>
      </c>
      <c r="C9" s="178" t="s">
        <v>377</v>
      </c>
      <c r="D9" s="179" t="s">
        <v>378</v>
      </c>
      <c r="E9" s="179" t="s">
        <v>379</v>
      </c>
      <c r="F9" s="178" t="s">
        <v>380</v>
      </c>
    </row>
    <row r="10">
      <c r="A10" s="175" t="s">
        <v>381</v>
      </c>
      <c r="B10" s="180" t="s">
        <v>382</v>
      </c>
      <c r="C10" s="181" t="s">
        <v>383</v>
      </c>
      <c r="D10" s="182" t="s">
        <v>384</v>
      </c>
      <c r="E10" s="182" t="s">
        <v>385</v>
      </c>
      <c r="F10" s="181" t="s">
        <v>386</v>
      </c>
    </row>
    <row r="11">
      <c r="C11" s="20"/>
      <c r="D11" s="73"/>
      <c r="E11" s="73"/>
      <c r="F11" s="20"/>
    </row>
    <row r="12">
      <c r="A12" s="121" t="s">
        <v>218</v>
      </c>
      <c r="B12" s="122"/>
      <c r="C12" s="122"/>
      <c r="D12" s="122"/>
      <c r="E12" s="122"/>
      <c r="F12" s="123"/>
      <c r="G12" s="123"/>
      <c r="H12" s="123"/>
    </row>
    <row r="14">
      <c r="A14" s="132" t="s">
        <v>220</v>
      </c>
      <c r="B14" s="132" t="s">
        <v>20</v>
      </c>
      <c r="C14" s="132" t="s">
        <v>221</v>
      </c>
      <c r="D14" s="132" t="s">
        <v>223</v>
      </c>
    </row>
    <row r="15">
      <c r="A15" s="183" t="s">
        <v>387</v>
      </c>
      <c r="B15" s="184" t="s">
        <v>388</v>
      </c>
      <c r="C15" s="184" t="s">
        <v>389</v>
      </c>
      <c r="D15" s="184" t="s">
        <v>390</v>
      </c>
      <c r="F15" s="20"/>
    </row>
    <row r="16">
      <c r="A16" s="183" t="s">
        <v>391</v>
      </c>
      <c r="B16" s="184" t="s">
        <v>392</v>
      </c>
      <c r="C16" s="184" t="s">
        <v>393</v>
      </c>
      <c r="D16" s="184" t="s">
        <v>394</v>
      </c>
      <c r="F16" s="20"/>
    </row>
    <row r="17">
      <c r="A17" s="183" t="s">
        <v>395</v>
      </c>
      <c r="B17" s="184" t="s">
        <v>396</v>
      </c>
      <c r="C17" s="184" t="s">
        <v>397</v>
      </c>
      <c r="D17" s="184" t="s">
        <v>398</v>
      </c>
      <c r="F17" s="20"/>
    </row>
    <row r="18">
      <c r="A18" s="183" t="s">
        <v>399</v>
      </c>
      <c r="B18" s="184" t="s">
        <v>400</v>
      </c>
      <c r="C18" s="184" t="s">
        <v>401</v>
      </c>
      <c r="D18" s="184" t="s">
        <v>402</v>
      </c>
      <c r="F18" s="20"/>
    </row>
    <row r="19">
      <c r="A19" s="183" t="s">
        <v>403</v>
      </c>
      <c r="B19" s="184" t="s">
        <v>404</v>
      </c>
      <c r="C19" s="184" t="s">
        <v>405</v>
      </c>
      <c r="D19" s="184" t="s">
        <v>406</v>
      </c>
      <c r="F19" s="20"/>
    </row>
    <row r="20">
      <c r="A20" s="183" t="s">
        <v>407</v>
      </c>
      <c r="B20" s="184" t="s">
        <v>408</v>
      </c>
      <c r="C20" s="184" t="s">
        <v>409</v>
      </c>
      <c r="D20" s="184" t="s">
        <v>410</v>
      </c>
      <c r="F20" s="20"/>
    </row>
    <row r="21" ht="15.75" customHeight="1"/>
    <row r="22" ht="15.75" customHeight="1">
      <c r="A22" s="185" t="s">
        <v>411</v>
      </c>
      <c r="B22" s="186"/>
      <c r="C22" s="186"/>
      <c r="D22" s="186"/>
      <c r="E22" s="186"/>
      <c r="F22" s="186"/>
      <c r="G22" s="186"/>
      <c r="H22" s="186"/>
      <c r="I22" s="186"/>
    </row>
    <row r="23" ht="15.75" customHeight="1">
      <c r="A23" s="187" t="s">
        <v>412</v>
      </c>
      <c r="B23" s="187" t="s">
        <v>413</v>
      </c>
      <c r="C23" s="187" t="s">
        <v>414</v>
      </c>
      <c r="D23" s="187" t="s">
        <v>415</v>
      </c>
      <c r="E23" s="187" t="s">
        <v>416</v>
      </c>
      <c r="F23" s="187" t="s">
        <v>417</v>
      </c>
      <c r="G23" s="187" t="s">
        <v>418</v>
      </c>
      <c r="H23" s="187" t="s">
        <v>419</v>
      </c>
      <c r="I23" s="187" t="s">
        <v>67</v>
      </c>
    </row>
    <row r="24" ht="15.75" customHeight="1">
      <c r="A24" s="188" t="s">
        <v>264</v>
      </c>
      <c r="B24" s="188" t="s">
        <v>264</v>
      </c>
      <c r="C24" s="188" t="s">
        <v>264</v>
      </c>
      <c r="D24" s="188" t="s">
        <v>264</v>
      </c>
      <c r="E24" s="188" t="s">
        <v>264</v>
      </c>
      <c r="F24" s="188" t="s">
        <v>264</v>
      </c>
      <c r="G24" s="188" t="s">
        <v>264</v>
      </c>
      <c r="H24" s="188" t="s">
        <v>264</v>
      </c>
      <c r="I24" s="188" t="s">
        <v>264</v>
      </c>
    </row>
    <row r="25" ht="15.75" customHeight="1">
      <c r="A25" s="188" t="s">
        <v>264</v>
      </c>
      <c r="B25" s="188" t="s">
        <v>264</v>
      </c>
      <c r="C25" s="188" t="s">
        <v>264</v>
      </c>
      <c r="D25" s="188" t="s">
        <v>264</v>
      </c>
      <c r="E25" s="188" t="s">
        <v>264</v>
      </c>
      <c r="F25" s="188" t="s">
        <v>264</v>
      </c>
      <c r="G25" s="188" t="s">
        <v>264</v>
      </c>
      <c r="H25" s="188" t="s">
        <v>264</v>
      </c>
      <c r="I25" s="188" t="s">
        <v>264</v>
      </c>
    </row>
    <row r="26" ht="15.75" customHeight="1">
      <c r="A26" s="188" t="s">
        <v>264</v>
      </c>
      <c r="B26" s="188" t="s">
        <v>264</v>
      </c>
      <c r="C26" s="188" t="s">
        <v>264</v>
      </c>
      <c r="D26" s="188" t="s">
        <v>264</v>
      </c>
      <c r="E26" s="188" t="s">
        <v>264</v>
      </c>
      <c r="F26" s="188" t="s">
        <v>264</v>
      </c>
      <c r="G26" s="188" t="s">
        <v>264</v>
      </c>
      <c r="H26" s="188" t="s">
        <v>264</v>
      </c>
      <c r="I26" s="188" t="s">
        <v>264</v>
      </c>
    </row>
    <row r="27" ht="15.75" customHeight="1">
      <c r="A27" s="188" t="s">
        <v>264</v>
      </c>
      <c r="B27" s="188" t="s">
        <v>264</v>
      </c>
      <c r="C27" s="188" t="s">
        <v>264</v>
      </c>
      <c r="D27" s="188" t="s">
        <v>264</v>
      </c>
      <c r="E27" s="188" t="s">
        <v>264</v>
      </c>
      <c r="F27" s="188" t="s">
        <v>264</v>
      </c>
      <c r="G27" s="188" t="s">
        <v>264</v>
      </c>
      <c r="H27" s="188" t="s">
        <v>264</v>
      </c>
      <c r="I27" s="188" t="s">
        <v>264</v>
      </c>
    </row>
    <row r="28" ht="15.75" customHeight="1">
      <c r="A28" s="188" t="s">
        <v>264</v>
      </c>
      <c r="B28" s="188" t="s">
        <v>264</v>
      </c>
      <c r="C28" s="188" t="s">
        <v>264</v>
      </c>
      <c r="D28" s="188" t="s">
        <v>264</v>
      </c>
      <c r="E28" s="188" t="s">
        <v>264</v>
      </c>
      <c r="F28" s="188" t="s">
        <v>264</v>
      </c>
      <c r="G28" s="188" t="s">
        <v>264</v>
      </c>
      <c r="H28" s="188" t="s">
        <v>264</v>
      </c>
      <c r="I28" s="188" t="s">
        <v>264</v>
      </c>
    </row>
    <row r="29" ht="15.75" customHeight="1">
      <c r="A29" s="188" t="s">
        <v>264</v>
      </c>
      <c r="B29" s="188" t="s">
        <v>264</v>
      </c>
      <c r="C29" s="188" t="s">
        <v>264</v>
      </c>
      <c r="D29" s="188" t="s">
        <v>264</v>
      </c>
      <c r="E29" s="188" t="s">
        <v>264</v>
      </c>
      <c r="F29" s="188" t="s">
        <v>264</v>
      </c>
      <c r="G29" s="188" t="s">
        <v>264</v>
      </c>
      <c r="H29" s="188" t="s">
        <v>264</v>
      </c>
      <c r="I29" s="188" t="s">
        <v>264</v>
      </c>
    </row>
    <row r="30" ht="15.75" customHeight="1">
      <c r="A30" s="188" t="s">
        <v>264</v>
      </c>
      <c r="B30" s="188" t="s">
        <v>264</v>
      </c>
      <c r="C30" s="188" t="s">
        <v>264</v>
      </c>
      <c r="D30" s="188" t="s">
        <v>264</v>
      </c>
      <c r="E30" s="188" t="s">
        <v>264</v>
      </c>
      <c r="F30" s="188" t="s">
        <v>264</v>
      </c>
      <c r="G30" s="188" t="s">
        <v>264</v>
      </c>
      <c r="H30" s="188" t="s">
        <v>264</v>
      </c>
      <c r="I30" s="188" t="s">
        <v>264</v>
      </c>
    </row>
    <row r="31" ht="15.75" customHeight="1">
      <c r="A31" s="188" t="s">
        <v>264</v>
      </c>
      <c r="B31" s="188" t="s">
        <v>264</v>
      </c>
      <c r="C31" s="188" t="s">
        <v>264</v>
      </c>
      <c r="D31" s="188" t="s">
        <v>264</v>
      </c>
      <c r="E31" s="188" t="s">
        <v>264</v>
      </c>
      <c r="F31" s="188" t="s">
        <v>264</v>
      </c>
      <c r="G31" s="188" t="s">
        <v>264</v>
      </c>
      <c r="H31" s="188" t="s">
        <v>264</v>
      </c>
      <c r="I31" s="188" t="s">
        <v>264</v>
      </c>
    </row>
    <row r="32">
      <c r="A32" s="188" t="s">
        <v>264</v>
      </c>
      <c r="B32" s="188" t="s">
        <v>264</v>
      </c>
      <c r="C32" s="188" t="s">
        <v>264</v>
      </c>
      <c r="D32" s="188" t="s">
        <v>264</v>
      </c>
      <c r="E32" s="188" t="s">
        <v>264</v>
      </c>
      <c r="F32" s="188" t="s">
        <v>264</v>
      </c>
      <c r="G32" s="188" t="s">
        <v>264</v>
      </c>
      <c r="H32" s="188" t="s">
        <v>264</v>
      </c>
      <c r="I32" s="188" t="s">
        <v>264</v>
      </c>
    </row>
    <row r="33" ht="15.75" customHeight="1"/>
    <row r="34" ht="15.75" customHeight="1"/>
    <row r="35" ht="15.75" customHeight="1">
      <c r="A35" s="149" t="s">
        <v>275</v>
      </c>
      <c r="B35" s="150"/>
      <c r="C35" s="150"/>
      <c r="D35" s="150"/>
      <c r="E35" s="151"/>
      <c r="F35" s="7"/>
      <c r="G35" s="7"/>
      <c r="H35" s="7"/>
    </row>
    <row r="36" ht="15.75" customHeight="1"/>
    <row r="37" ht="15.75" customHeight="1">
      <c r="A37" s="152" t="s">
        <v>276</v>
      </c>
      <c r="B37" s="152" t="s">
        <v>277</v>
      </c>
      <c r="C37" s="152" t="s">
        <v>278</v>
      </c>
    </row>
    <row r="38" ht="15.75" customHeight="1">
      <c r="A38" s="153">
        <v>1.0</v>
      </c>
      <c r="B38" s="154" t="s">
        <v>279</v>
      </c>
      <c r="C38" s="189" t="s">
        <v>420</v>
      </c>
    </row>
    <row r="39" ht="15.75" customHeight="1">
      <c r="A39" s="153">
        <v>2.0</v>
      </c>
      <c r="B39" s="154" t="s">
        <v>281</v>
      </c>
      <c r="C39" s="189" t="s">
        <v>421</v>
      </c>
    </row>
    <row r="40" ht="15.75" customHeight="1">
      <c r="A40" s="153">
        <v>3.0</v>
      </c>
      <c r="B40" s="154" t="s">
        <v>283</v>
      </c>
      <c r="C40" s="189" t="s">
        <v>422</v>
      </c>
    </row>
    <row r="41" ht="15.75" customHeight="1">
      <c r="A41" s="153">
        <v>4.0</v>
      </c>
      <c r="B41" s="154" t="s">
        <v>285</v>
      </c>
      <c r="C41" s="189" t="s">
        <v>423</v>
      </c>
    </row>
    <row r="42" ht="15.75" customHeight="1">
      <c r="A42" s="155">
        <v>5.0</v>
      </c>
      <c r="B42" s="156" t="s">
        <v>287</v>
      </c>
      <c r="C42" s="189" t="s">
        <v>424</v>
      </c>
    </row>
    <row r="43" ht="15.75" customHeight="1">
      <c r="A43" s="155">
        <v>6.0</v>
      </c>
      <c r="B43" s="156" t="s">
        <v>289</v>
      </c>
      <c r="C43" s="189" t="s">
        <v>425</v>
      </c>
    </row>
    <row r="44" ht="15.75" customHeight="1">
      <c r="A44" s="155">
        <v>7.0</v>
      </c>
      <c r="B44" s="156" t="s">
        <v>291</v>
      </c>
      <c r="C44" s="189" t="s">
        <v>426</v>
      </c>
    </row>
    <row r="45" ht="15.75" customHeight="1">
      <c r="A45" s="155">
        <v>8.0</v>
      </c>
      <c r="B45" s="156" t="s">
        <v>293</v>
      </c>
      <c r="C45" s="189" t="s">
        <v>427</v>
      </c>
    </row>
    <row r="46" ht="15.75" customHeight="1">
      <c r="A46" s="155">
        <v>9.0</v>
      </c>
      <c r="B46" s="156" t="s">
        <v>295</v>
      </c>
      <c r="C46" s="189" t="s">
        <v>428</v>
      </c>
    </row>
    <row r="47" ht="15.75" customHeight="1">
      <c r="A47" s="155">
        <v>10.0</v>
      </c>
      <c r="B47" s="156" t="s">
        <v>297</v>
      </c>
      <c r="C47" s="189" t="s">
        <v>429</v>
      </c>
    </row>
    <row r="48" ht="15.75" customHeight="1"/>
    <row r="49" ht="15.75" customHeight="1">
      <c r="A49" s="43" t="s">
        <v>299</v>
      </c>
      <c r="B49" s="73"/>
      <c r="C49" s="73"/>
      <c r="D49" s="73"/>
    </row>
    <row r="50" ht="15.75" customHeight="1">
      <c r="A50" s="157" t="s">
        <v>300</v>
      </c>
      <c r="B50" s="150"/>
      <c r="C50" s="150"/>
      <c r="D50" s="151"/>
    </row>
    <row r="51" ht="15.75" customHeight="1">
      <c r="A51" s="157" t="s">
        <v>301</v>
      </c>
      <c r="B51" s="150"/>
      <c r="C51" s="150"/>
      <c r="D51" s="151"/>
    </row>
    <row r="52" ht="15.75" customHeight="1">
      <c r="A52" s="157" t="s">
        <v>302</v>
      </c>
      <c r="B52" s="150"/>
      <c r="C52" s="150"/>
      <c r="D52" s="151"/>
    </row>
    <row r="53" ht="15.75" customHeight="1">
      <c r="A53" s="157" t="s">
        <v>303</v>
      </c>
      <c r="B53" s="150"/>
      <c r="C53" s="150"/>
      <c r="D53" s="151"/>
    </row>
    <row r="54" ht="15.75" customHeight="1"/>
    <row r="55" ht="15.75" customHeight="1">
      <c r="A55" s="149" t="s">
        <v>304</v>
      </c>
      <c r="B55" s="150"/>
      <c r="C55" s="150"/>
      <c r="D55" s="150"/>
      <c r="E55" s="151"/>
      <c r="F55" s="7"/>
      <c r="G55" s="7"/>
      <c r="H55" s="7"/>
    </row>
    <row r="56" ht="15.75" customHeight="1"/>
    <row r="57" ht="15.0" customHeight="1">
      <c r="A57" s="158" t="s">
        <v>60</v>
      </c>
      <c r="B57" s="159" t="s">
        <v>83</v>
      </c>
      <c r="I57" s="73"/>
      <c r="J57" s="73"/>
      <c r="K57" s="73"/>
      <c r="L57" s="73"/>
      <c r="M57" s="73"/>
    </row>
    <row r="58" ht="15.75" customHeight="1">
      <c r="A58" s="160" t="s">
        <v>305</v>
      </c>
      <c r="B58" s="20" t="s">
        <v>306</v>
      </c>
      <c r="I58" s="73"/>
      <c r="J58" s="73"/>
      <c r="K58" s="73"/>
      <c r="L58" s="73"/>
      <c r="M58" s="73"/>
    </row>
    <row r="59" ht="15.75" customHeight="1">
      <c r="A59" s="160" t="s">
        <v>307</v>
      </c>
      <c r="B59" s="27" t="s">
        <v>161</v>
      </c>
      <c r="I59" s="73"/>
      <c r="J59" s="73"/>
      <c r="K59" s="73"/>
      <c r="L59" s="73"/>
      <c r="M59" s="73"/>
    </row>
    <row r="60" ht="15.75" customHeight="1">
      <c r="A60" s="161" t="s">
        <v>308</v>
      </c>
      <c r="B60" s="162" t="str">
        <f t="array" ref="B60">INDEX(A65:A69,MATCH(MAX(H65:H69),H65:H69,0))</f>
        <v>Local Hybrid</v>
      </c>
      <c r="C60" s="162"/>
      <c r="D60" s="73"/>
      <c r="E60" s="73"/>
      <c r="F60" s="73"/>
      <c r="G60" s="73"/>
      <c r="H60" s="73"/>
      <c r="I60" s="73"/>
      <c r="J60" s="163"/>
      <c r="K60" s="73"/>
      <c r="L60" s="73"/>
      <c r="M60" s="73"/>
    </row>
    <row r="61" ht="15.75" customHeight="1">
      <c r="A61" s="164" t="s">
        <v>309</v>
      </c>
      <c r="B61" s="165">
        <f>MAX(H65:H69)</f>
        <v>7.333333333</v>
      </c>
      <c r="C61" s="165"/>
      <c r="D61" s="73"/>
      <c r="E61" s="73"/>
      <c r="F61" s="73"/>
      <c r="G61" s="73"/>
      <c r="H61" s="73"/>
      <c r="I61" s="73"/>
      <c r="J61" s="163"/>
      <c r="K61" s="73"/>
      <c r="L61" s="73"/>
      <c r="M61" s="73"/>
    </row>
    <row r="62" ht="15.75" customHeight="1">
      <c r="A62" s="164" t="s">
        <v>310</v>
      </c>
      <c r="B62" s="166" t="s">
        <v>430</v>
      </c>
      <c r="I62" s="73"/>
      <c r="J62" s="73"/>
      <c r="K62" s="73"/>
      <c r="L62" s="73"/>
      <c r="M62" s="73"/>
    </row>
    <row r="63" ht="15.75" customHeight="1">
      <c r="A63" s="73"/>
      <c r="B63" s="73"/>
      <c r="C63" s="73"/>
      <c r="D63" s="73"/>
      <c r="E63" s="73"/>
      <c r="F63" s="73"/>
      <c r="G63" s="73"/>
      <c r="H63" s="73"/>
      <c r="I63" s="73"/>
      <c r="J63" s="163"/>
      <c r="K63" s="73"/>
      <c r="L63" s="73"/>
      <c r="M63" s="73"/>
    </row>
    <row r="64" ht="15.75" customHeight="1">
      <c r="A64" s="167" t="s">
        <v>63</v>
      </c>
      <c r="B64" s="167" t="s">
        <v>387</v>
      </c>
      <c r="C64" s="167" t="s">
        <v>391</v>
      </c>
      <c r="D64" s="167" t="s">
        <v>395</v>
      </c>
      <c r="E64" s="167" t="s">
        <v>399</v>
      </c>
      <c r="F64" s="167" t="s">
        <v>403</v>
      </c>
      <c r="G64" s="167" t="s">
        <v>407</v>
      </c>
      <c r="H64" s="167" t="s">
        <v>313</v>
      </c>
      <c r="I64" s="167" t="s">
        <v>314</v>
      </c>
      <c r="J64" s="167" t="s">
        <v>315</v>
      </c>
    </row>
    <row r="65" ht="15.75" customHeight="1">
      <c r="A65" s="168" t="s">
        <v>357</v>
      </c>
      <c r="B65" s="168">
        <v>5.0</v>
      </c>
      <c r="C65" s="168">
        <v>6.0</v>
      </c>
      <c r="D65" s="168">
        <v>10.0</v>
      </c>
      <c r="E65" s="168">
        <v>4.0</v>
      </c>
      <c r="F65" s="168">
        <v>8.0</v>
      </c>
      <c r="G65" s="168">
        <v>8.0</v>
      </c>
      <c r="H65" s="169">
        <f t="shared" ref="H65:H69" si="1">AVERAGE(B65:G65)</f>
        <v>6.833333333</v>
      </c>
      <c r="I65" s="168">
        <f t="shared" ref="I65:I69" si="2">RANK(H65,$H$65:$H$69,0)</f>
        <v>2</v>
      </c>
      <c r="J65" s="170" t="s">
        <v>431</v>
      </c>
    </row>
    <row r="66" ht="15.75" customHeight="1">
      <c r="A66" s="168" t="s">
        <v>363</v>
      </c>
      <c r="B66" s="168">
        <v>4.0</v>
      </c>
      <c r="C66" s="168">
        <v>5.0</v>
      </c>
      <c r="D66" s="168">
        <v>8.0</v>
      </c>
      <c r="E66" s="168">
        <v>5.0</v>
      </c>
      <c r="F66" s="168">
        <v>8.0</v>
      </c>
      <c r="G66" s="168">
        <v>7.0</v>
      </c>
      <c r="H66" s="169">
        <f t="shared" si="1"/>
        <v>6.166666667</v>
      </c>
      <c r="I66" s="168">
        <f t="shared" si="2"/>
        <v>4</v>
      </c>
      <c r="J66" s="170" t="s">
        <v>432</v>
      </c>
    </row>
    <row r="67" ht="15.75" customHeight="1">
      <c r="A67" s="168" t="s">
        <v>369</v>
      </c>
      <c r="B67" s="168">
        <v>2.0</v>
      </c>
      <c r="C67" s="168">
        <v>2.0</v>
      </c>
      <c r="D67" s="168">
        <v>7.0</v>
      </c>
      <c r="E67" s="168">
        <v>6.0</v>
      </c>
      <c r="F67" s="168">
        <v>9.0</v>
      </c>
      <c r="G67" s="168">
        <v>5.0</v>
      </c>
      <c r="H67" s="169">
        <f t="shared" si="1"/>
        <v>5.166666667</v>
      </c>
      <c r="I67" s="168">
        <f t="shared" si="2"/>
        <v>5</v>
      </c>
      <c r="J67" s="170" t="s">
        <v>433</v>
      </c>
    </row>
    <row r="68" ht="15.75" customHeight="1">
      <c r="A68" s="190" t="s">
        <v>375</v>
      </c>
      <c r="B68" s="168">
        <v>7.0</v>
      </c>
      <c r="C68" s="168">
        <v>6.0</v>
      </c>
      <c r="D68" s="168">
        <v>9.0</v>
      </c>
      <c r="E68" s="168">
        <v>6.0</v>
      </c>
      <c r="F68" s="168">
        <v>8.0</v>
      </c>
      <c r="G68" s="168">
        <v>8.0</v>
      </c>
      <c r="H68" s="169">
        <f t="shared" si="1"/>
        <v>7.333333333</v>
      </c>
      <c r="I68" s="168">
        <f t="shared" si="2"/>
        <v>1</v>
      </c>
      <c r="J68" s="170" t="s">
        <v>434</v>
      </c>
    </row>
    <row r="69" ht="15.75" customHeight="1">
      <c r="A69" s="168" t="s">
        <v>381</v>
      </c>
      <c r="B69" s="168">
        <v>8.0</v>
      </c>
      <c r="C69" s="168">
        <v>8.0</v>
      </c>
      <c r="D69" s="168">
        <v>5.0</v>
      </c>
      <c r="E69" s="168">
        <v>8.0</v>
      </c>
      <c r="F69" s="168">
        <v>5.0</v>
      </c>
      <c r="G69" s="168">
        <v>6.0</v>
      </c>
      <c r="H69" s="169">
        <f t="shared" si="1"/>
        <v>6.666666667</v>
      </c>
      <c r="I69" s="168">
        <f t="shared" si="2"/>
        <v>3</v>
      </c>
      <c r="J69" s="170" t="s">
        <v>435</v>
      </c>
    </row>
    <row r="70" ht="15.75" customHeight="1"/>
    <row r="71" ht="15.75" customHeight="1">
      <c r="A71" s="158" t="s">
        <v>60</v>
      </c>
      <c r="B71" s="159" t="s">
        <v>93</v>
      </c>
      <c r="C71" s="3"/>
      <c r="D71" s="73"/>
      <c r="E71" s="73"/>
      <c r="F71" s="73"/>
      <c r="G71" s="73"/>
      <c r="H71" s="73"/>
    </row>
    <row r="72" ht="15.75" customHeight="1">
      <c r="A72" s="160" t="s">
        <v>305</v>
      </c>
      <c r="B72" s="20" t="s">
        <v>322</v>
      </c>
    </row>
    <row r="73" ht="15.75" customHeight="1">
      <c r="A73" s="160" t="s">
        <v>307</v>
      </c>
      <c r="B73" s="27" t="s">
        <v>149</v>
      </c>
    </row>
    <row r="74" ht="15.75" customHeight="1">
      <c r="A74" s="161" t="s">
        <v>308</v>
      </c>
      <c r="B74" s="162" t="str">
        <f t="array" ref="B74">INDEX(A79:A83,MATCH(MAX(H79:H83),H79:H83,0))</f>
        <v>Hybrid</v>
      </c>
      <c r="C74" s="162"/>
      <c r="D74" s="73"/>
      <c r="E74" s="73"/>
      <c r="F74" s="73"/>
      <c r="G74" s="73"/>
      <c r="H74" s="73"/>
    </row>
    <row r="75" ht="15.75" customHeight="1">
      <c r="A75" s="164" t="s">
        <v>309</v>
      </c>
      <c r="B75" s="165">
        <f>MAX(H79:H83)</f>
        <v>7.166666667</v>
      </c>
      <c r="C75" s="165"/>
      <c r="D75" s="73"/>
      <c r="E75" s="73"/>
      <c r="F75" s="73"/>
      <c r="G75" s="73"/>
      <c r="H75" s="73"/>
    </row>
    <row r="76" ht="15.75" customHeight="1">
      <c r="A76" s="164" t="s">
        <v>310</v>
      </c>
      <c r="B76" s="191"/>
    </row>
    <row r="77" ht="15.75" customHeight="1"/>
    <row r="78" ht="15.75" customHeight="1">
      <c r="A78" s="167" t="s">
        <v>63</v>
      </c>
      <c r="B78" s="167" t="s">
        <v>387</v>
      </c>
      <c r="C78" s="167" t="s">
        <v>391</v>
      </c>
      <c r="D78" s="167" t="s">
        <v>395</v>
      </c>
      <c r="E78" s="167" t="s">
        <v>399</v>
      </c>
      <c r="F78" s="167" t="s">
        <v>403</v>
      </c>
      <c r="G78" s="167" t="s">
        <v>407</v>
      </c>
      <c r="H78" s="167" t="s">
        <v>313</v>
      </c>
      <c r="I78" s="167" t="s">
        <v>314</v>
      </c>
      <c r="J78" s="167" t="s">
        <v>315</v>
      </c>
    </row>
    <row r="79" ht="15.75" customHeight="1">
      <c r="A79" s="168" t="s">
        <v>357</v>
      </c>
      <c r="B79" s="168">
        <v>4.0</v>
      </c>
      <c r="C79" s="168">
        <v>5.0</v>
      </c>
      <c r="D79" s="168">
        <v>9.0</v>
      </c>
      <c r="E79" s="168">
        <v>4.0</v>
      </c>
      <c r="F79" s="168">
        <v>8.0</v>
      </c>
      <c r="G79" s="168">
        <v>6.0</v>
      </c>
      <c r="H79" s="169">
        <f t="shared" ref="H79:H83" si="3">AVERAGE(B79:G79)</f>
        <v>6</v>
      </c>
      <c r="I79" s="168">
        <f t="shared" ref="I79:I83" si="4">RANK(H79,$H$79:$H$83,0)</f>
        <v>3</v>
      </c>
      <c r="J79" s="170" t="s">
        <v>436</v>
      </c>
    </row>
    <row r="80" ht="15.75" customHeight="1">
      <c r="A80" s="168" t="s">
        <v>363</v>
      </c>
      <c r="B80" s="168">
        <v>3.0</v>
      </c>
      <c r="C80" s="168">
        <v>4.0</v>
      </c>
      <c r="D80" s="168">
        <v>7.0</v>
      </c>
      <c r="E80" s="168">
        <v>4.0</v>
      </c>
      <c r="F80" s="168">
        <v>7.0</v>
      </c>
      <c r="G80" s="168">
        <v>5.0</v>
      </c>
      <c r="H80" s="169">
        <f t="shared" si="3"/>
        <v>5</v>
      </c>
      <c r="I80" s="168">
        <f t="shared" si="4"/>
        <v>4</v>
      </c>
      <c r="J80" s="170" t="s">
        <v>437</v>
      </c>
    </row>
    <row r="81" ht="15.75" customHeight="1">
      <c r="A81" s="168" t="s">
        <v>369</v>
      </c>
      <c r="B81" s="168">
        <v>2.0</v>
      </c>
      <c r="C81" s="168">
        <v>2.0</v>
      </c>
      <c r="D81" s="168">
        <v>7.0</v>
      </c>
      <c r="E81" s="168">
        <v>6.0</v>
      </c>
      <c r="F81" s="168">
        <v>9.0</v>
      </c>
      <c r="G81" s="168">
        <v>4.0</v>
      </c>
      <c r="H81" s="169">
        <f t="shared" si="3"/>
        <v>5</v>
      </c>
      <c r="I81" s="168">
        <f t="shared" si="4"/>
        <v>4</v>
      </c>
      <c r="J81" s="170" t="s">
        <v>438</v>
      </c>
    </row>
    <row r="82" ht="15.75" customHeight="1">
      <c r="A82" s="168" t="s">
        <v>375</v>
      </c>
      <c r="B82" s="168">
        <v>5.0</v>
      </c>
      <c r="C82" s="168">
        <v>5.0</v>
      </c>
      <c r="D82" s="168">
        <v>8.0</v>
      </c>
      <c r="E82" s="168">
        <v>6.0</v>
      </c>
      <c r="F82" s="168">
        <v>8.0</v>
      </c>
      <c r="G82" s="168">
        <v>6.0</v>
      </c>
      <c r="H82" s="169">
        <f t="shared" si="3"/>
        <v>6.333333333</v>
      </c>
      <c r="I82" s="168">
        <f t="shared" si="4"/>
        <v>2</v>
      </c>
      <c r="J82" s="170" t="s">
        <v>439</v>
      </c>
    </row>
    <row r="83" ht="15.75" customHeight="1">
      <c r="A83" s="190" t="s">
        <v>381</v>
      </c>
      <c r="B83" s="168">
        <v>8.0</v>
      </c>
      <c r="C83" s="168">
        <v>8.0</v>
      </c>
      <c r="D83" s="168">
        <v>6.0</v>
      </c>
      <c r="E83" s="168">
        <v>8.0</v>
      </c>
      <c r="F83" s="168">
        <v>6.0</v>
      </c>
      <c r="G83" s="168">
        <v>7.0</v>
      </c>
      <c r="H83" s="169">
        <f t="shared" si="3"/>
        <v>7.166666667</v>
      </c>
      <c r="I83" s="168">
        <f t="shared" si="4"/>
        <v>1</v>
      </c>
      <c r="J83" s="170" t="s">
        <v>440</v>
      </c>
    </row>
    <row r="84" ht="15.75" customHeight="1"/>
    <row r="85" ht="15.75" customHeight="1"/>
    <row r="86" ht="15.75" customHeight="1">
      <c r="A86" s="185" t="s">
        <v>411</v>
      </c>
      <c r="B86" s="186"/>
      <c r="C86" s="186"/>
      <c r="D86" s="186"/>
      <c r="E86" s="186"/>
      <c r="F86" s="186"/>
      <c r="G86" s="186"/>
      <c r="H86" s="186"/>
      <c r="I86" s="186"/>
    </row>
    <row r="87">
      <c r="A87" s="187" t="s">
        <v>412</v>
      </c>
      <c r="B87" s="187" t="s">
        <v>413</v>
      </c>
      <c r="C87" s="187" t="s">
        <v>414</v>
      </c>
      <c r="D87" s="187" t="s">
        <v>415</v>
      </c>
      <c r="E87" s="187" t="s">
        <v>416</v>
      </c>
      <c r="F87" s="187" t="s">
        <v>417</v>
      </c>
      <c r="G87" s="187" t="s">
        <v>418</v>
      </c>
      <c r="H87" s="187" t="s">
        <v>419</v>
      </c>
      <c r="I87" s="187" t="s">
        <v>441</v>
      </c>
    </row>
    <row r="88">
      <c r="A88" s="192" t="s">
        <v>442</v>
      </c>
      <c r="B88" s="192" t="s">
        <v>443</v>
      </c>
      <c r="C88" s="192" t="s">
        <v>444</v>
      </c>
      <c r="D88" s="192" t="s">
        <v>445</v>
      </c>
      <c r="E88" s="192" t="s">
        <v>446</v>
      </c>
      <c r="F88" s="192" t="s">
        <v>447</v>
      </c>
      <c r="G88" s="192" t="s">
        <v>448</v>
      </c>
      <c r="H88" s="192" t="s">
        <v>449</v>
      </c>
      <c r="I88" s="193" t="s">
        <v>450</v>
      </c>
    </row>
    <row r="89">
      <c r="A89" s="192" t="s">
        <v>442</v>
      </c>
      <c r="B89" s="192" t="s">
        <v>451</v>
      </c>
      <c r="C89" s="192" t="s">
        <v>452</v>
      </c>
      <c r="D89" s="192" t="s">
        <v>453</v>
      </c>
      <c r="E89" s="192" t="s">
        <v>454</v>
      </c>
      <c r="F89" s="192" t="s">
        <v>455</v>
      </c>
      <c r="G89" s="192" t="s">
        <v>456</v>
      </c>
      <c r="H89" s="192" t="s">
        <v>457</v>
      </c>
      <c r="I89" s="193" t="s">
        <v>458</v>
      </c>
    </row>
    <row r="90">
      <c r="A90" s="192" t="s">
        <v>442</v>
      </c>
      <c r="B90" s="192" t="s">
        <v>459</v>
      </c>
      <c r="C90" s="192" t="s">
        <v>460</v>
      </c>
      <c r="D90" s="192" t="s">
        <v>461</v>
      </c>
      <c r="E90" s="192" t="s">
        <v>462</v>
      </c>
      <c r="F90" s="192" t="s">
        <v>463</v>
      </c>
      <c r="G90" s="192" t="s">
        <v>464</v>
      </c>
      <c r="H90" s="192" t="s">
        <v>465</v>
      </c>
      <c r="I90" s="193" t="s">
        <v>450</v>
      </c>
    </row>
    <row r="91">
      <c r="A91" s="192" t="s">
        <v>442</v>
      </c>
      <c r="B91" s="192" t="s">
        <v>466</v>
      </c>
      <c r="C91" s="192" t="s">
        <v>467</v>
      </c>
      <c r="D91" s="192" t="s">
        <v>468</v>
      </c>
      <c r="E91" s="192" t="s">
        <v>469</v>
      </c>
      <c r="F91" s="192" t="s">
        <v>470</v>
      </c>
      <c r="G91" s="192" t="s">
        <v>471</v>
      </c>
      <c r="H91" s="192" t="s">
        <v>472</v>
      </c>
      <c r="I91" s="193" t="s">
        <v>473</v>
      </c>
    </row>
    <row r="92">
      <c r="A92" s="192" t="s">
        <v>442</v>
      </c>
      <c r="B92" s="192" t="s">
        <v>474</v>
      </c>
      <c r="C92" s="192" t="s">
        <v>475</v>
      </c>
      <c r="D92" s="192" t="s">
        <v>476</v>
      </c>
      <c r="E92" s="192" t="s">
        <v>477</v>
      </c>
      <c r="F92" s="192" t="s">
        <v>478</v>
      </c>
      <c r="G92" s="192" t="s">
        <v>479</v>
      </c>
      <c r="H92" s="192" t="s">
        <v>480</v>
      </c>
      <c r="I92" s="193" t="s">
        <v>481</v>
      </c>
    </row>
    <row r="93">
      <c r="A93" s="192" t="s">
        <v>482</v>
      </c>
      <c r="B93" s="192" t="s">
        <v>483</v>
      </c>
      <c r="C93" s="192" t="s">
        <v>484</v>
      </c>
      <c r="D93" s="192" t="s">
        <v>485</v>
      </c>
      <c r="E93" s="192" t="s">
        <v>486</v>
      </c>
      <c r="F93" s="192" t="s">
        <v>487</v>
      </c>
      <c r="G93" s="192" t="s">
        <v>488</v>
      </c>
      <c r="H93" s="192" t="s">
        <v>489</v>
      </c>
      <c r="I93" s="193" t="s">
        <v>490</v>
      </c>
    </row>
    <row r="94">
      <c r="A94" s="192" t="s">
        <v>482</v>
      </c>
      <c r="B94" s="192" t="s">
        <v>491</v>
      </c>
      <c r="C94" s="192" t="s">
        <v>492</v>
      </c>
      <c r="D94" s="192" t="s">
        <v>493</v>
      </c>
      <c r="E94" s="192" t="s">
        <v>494</v>
      </c>
      <c r="F94" s="192" t="s">
        <v>495</v>
      </c>
      <c r="G94" s="192" t="s">
        <v>496</v>
      </c>
      <c r="H94" s="192" t="s">
        <v>497</v>
      </c>
      <c r="I94" s="193" t="s">
        <v>498</v>
      </c>
    </row>
    <row r="95">
      <c r="A95" s="192" t="s">
        <v>482</v>
      </c>
      <c r="B95" s="192" t="s">
        <v>499</v>
      </c>
      <c r="C95" s="192" t="s">
        <v>500</v>
      </c>
      <c r="D95" s="192" t="s">
        <v>485</v>
      </c>
      <c r="E95" s="192" t="s">
        <v>501</v>
      </c>
      <c r="F95" s="192" t="s">
        <v>502</v>
      </c>
      <c r="G95" s="192" t="s">
        <v>503</v>
      </c>
      <c r="H95" s="192" t="s">
        <v>504</v>
      </c>
      <c r="I95" s="193" t="s">
        <v>490</v>
      </c>
    </row>
    <row r="96">
      <c r="A96" s="192" t="s">
        <v>482</v>
      </c>
      <c r="B96" s="192" t="s">
        <v>505</v>
      </c>
      <c r="C96" s="192" t="s">
        <v>506</v>
      </c>
      <c r="D96" s="192" t="s">
        <v>485</v>
      </c>
      <c r="E96" s="192" t="s">
        <v>507</v>
      </c>
      <c r="F96" s="192" t="s">
        <v>508</v>
      </c>
      <c r="G96" s="192" t="s">
        <v>509</v>
      </c>
      <c r="H96" s="192" t="s">
        <v>510</v>
      </c>
      <c r="I96" s="193" t="s">
        <v>490</v>
      </c>
    </row>
    <row r="98" ht="15.75" customHeight="1">
      <c r="A98" s="194"/>
      <c r="B98" s="194"/>
      <c r="C98" s="194"/>
      <c r="D98" s="194"/>
      <c r="E98" s="194"/>
      <c r="F98" s="194"/>
      <c r="G98" s="194"/>
      <c r="H98" s="194"/>
      <c r="I98" s="195"/>
    </row>
    <row r="99" ht="15.75" customHeight="1">
      <c r="A99" s="194"/>
      <c r="B99" s="194"/>
      <c r="C99" s="194"/>
      <c r="D99" s="194"/>
      <c r="E99" s="194"/>
      <c r="F99" s="194"/>
      <c r="G99" s="194"/>
      <c r="H99" s="194"/>
      <c r="I99" s="195"/>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mergeCells count="14">
    <mergeCell ref="B57:H57"/>
    <mergeCell ref="B58:H58"/>
    <mergeCell ref="B59:H59"/>
    <mergeCell ref="B62:H62"/>
    <mergeCell ref="B72:H72"/>
    <mergeCell ref="B73:H73"/>
    <mergeCell ref="B76:H76"/>
    <mergeCell ref="A4:I4"/>
    <mergeCell ref="A35:E35"/>
    <mergeCell ref="A50:D50"/>
    <mergeCell ref="A51:D51"/>
    <mergeCell ref="A52:D52"/>
    <mergeCell ref="A53:D53"/>
    <mergeCell ref="A55:E55"/>
  </mergeCells>
  <hyperlinks>
    <hyperlink r:id="rId1" ref="I88"/>
    <hyperlink r:id="rId2" ref="I89"/>
    <hyperlink r:id="rId3" ref="I90"/>
    <hyperlink r:id="rId4" ref="I91"/>
    <hyperlink r:id="rId5" ref="I92"/>
    <hyperlink r:id="rId6" ref="I93"/>
    <hyperlink r:id="rId7" ref="I94"/>
    <hyperlink r:id="rId8" ref="I95"/>
    <hyperlink r:id="rId9" ref="I96"/>
  </hyperlinks>
  <printOptions/>
  <pageMargins bottom="0.75" footer="0.0" header="0.0" left="0.7" right="0.7" top="0.75"/>
  <pageSetup orientation="landscape"/>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96" t="s">
        <v>67</v>
      </c>
      <c r="B1" s="197"/>
      <c r="C1" s="197"/>
      <c r="D1" s="197"/>
      <c r="E1" s="197"/>
      <c r="F1" s="197"/>
      <c r="G1" s="197"/>
      <c r="H1" s="197"/>
      <c r="I1" s="197"/>
      <c r="J1" s="197"/>
      <c r="K1" s="197"/>
      <c r="L1" s="197"/>
      <c r="M1" s="197"/>
      <c r="N1" s="197"/>
    </row>
    <row r="2">
      <c r="A2" s="198" t="s">
        <v>511</v>
      </c>
    </row>
    <row r="3">
      <c r="A3" s="198" t="s">
        <v>512</v>
      </c>
    </row>
    <row r="4">
      <c r="A4" s="198" t="s">
        <v>513</v>
      </c>
    </row>
    <row r="5">
      <c r="A5" s="198" t="s">
        <v>514</v>
      </c>
    </row>
    <row r="6">
      <c r="A6" s="198" t="s">
        <v>515</v>
      </c>
    </row>
    <row r="7" ht="15.75" customHeight="1">
      <c r="A7" s="198" t="s">
        <v>516</v>
      </c>
    </row>
    <row r="8" ht="15.75" customHeight="1">
      <c r="A8" s="198" t="s">
        <v>517</v>
      </c>
    </row>
    <row r="9" ht="15.75" customHeight="1">
      <c r="A9" s="199" t="s">
        <v>518</v>
      </c>
    </row>
    <row r="10" ht="15.75" customHeight="1">
      <c r="A10" s="198" t="s">
        <v>519</v>
      </c>
    </row>
    <row r="11" ht="15.75" customHeight="1">
      <c r="A11" s="198" t="s">
        <v>520</v>
      </c>
    </row>
    <row r="12" ht="15.75" customHeight="1">
      <c r="A12" s="198" t="s">
        <v>521</v>
      </c>
    </row>
    <row r="13" ht="15.75" customHeight="1">
      <c r="A13" s="198" t="s">
        <v>522</v>
      </c>
    </row>
    <row r="14">
      <c r="A14" s="198" t="s">
        <v>523</v>
      </c>
    </row>
    <row r="15">
      <c r="A15" s="198" t="s">
        <v>524</v>
      </c>
    </row>
    <row r="16">
      <c r="A16" s="198" t="s">
        <v>525</v>
      </c>
    </row>
    <row r="17">
      <c r="A17" s="198" t="s">
        <v>450</v>
      </c>
    </row>
    <row r="18">
      <c r="A18" s="198" t="s">
        <v>490</v>
      </c>
    </row>
    <row r="19">
      <c r="A19" s="198" t="s">
        <v>526</v>
      </c>
    </row>
    <row r="20">
      <c r="A20" s="198" t="s">
        <v>527</v>
      </c>
    </row>
    <row r="21">
      <c r="A21" s="198" t="s">
        <v>235</v>
      </c>
    </row>
    <row r="22">
      <c r="A22" s="198" t="s">
        <v>528</v>
      </c>
    </row>
    <row r="23">
      <c r="A23" s="198" t="s">
        <v>529</v>
      </c>
    </row>
    <row r="24">
      <c r="A24" s="198" t="s">
        <v>530</v>
      </c>
    </row>
    <row r="25">
      <c r="A25" s="198" t="s">
        <v>531</v>
      </c>
    </row>
    <row r="26">
      <c r="A26" s="198" t="s">
        <v>532</v>
      </c>
    </row>
    <row r="27">
      <c r="A27" s="198" t="s">
        <v>533</v>
      </c>
    </row>
    <row r="28">
      <c r="A28" s="198" t="s">
        <v>534</v>
      </c>
    </row>
    <row r="29">
      <c r="A29" s="198" t="s">
        <v>535</v>
      </c>
    </row>
    <row r="30">
      <c r="A30" s="198" t="s">
        <v>536</v>
      </c>
    </row>
    <row r="31">
      <c r="A31" s="198" t="s">
        <v>537</v>
      </c>
    </row>
    <row r="32">
      <c r="A32" s="198" t="s">
        <v>538</v>
      </c>
    </row>
    <row r="33">
      <c r="A33" s="198" t="s">
        <v>539</v>
      </c>
    </row>
    <row r="34">
      <c r="A34" s="198" t="s">
        <v>540</v>
      </c>
    </row>
    <row r="35">
      <c r="A35" s="198" t="s">
        <v>541</v>
      </c>
    </row>
    <row r="36">
      <c r="A36" s="198" t="s">
        <v>118</v>
      </c>
    </row>
    <row r="37">
      <c r="A37" s="198" t="s">
        <v>542</v>
      </c>
    </row>
    <row r="38">
      <c r="A38" s="198" t="s">
        <v>543</v>
      </c>
    </row>
    <row r="39">
      <c r="A39" s="198" t="s">
        <v>544</v>
      </c>
    </row>
    <row r="40">
      <c r="A40" s="198" t="s">
        <v>134</v>
      </c>
    </row>
    <row r="41">
      <c r="A41" s="198" t="s">
        <v>545</v>
      </c>
    </row>
    <row r="42">
      <c r="A42" s="198" t="s">
        <v>546</v>
      </c>
    </row>
    <row r="43">
      <c r="A43" s="198" t="s">
        <v>547</v>
      </c>
    </row>
    <row r="44">
      <c r="A44" s="198" t="s">
        <v>241</v>
      </c>
    </row>
    <row r="45">
      <c r="A45" s="198" t="s">
        <v>458</v>
      </c>
    </row>
    <row r="46">
      <c r="A46" s="198" t="s">
        <v>473</v>
      </c>
    </row>
    <row r="47">
      <c r="A47" s="198" t="s">
        <v>481</v>
      </c>
    </row>
    <row r="48">
      <c r="A48" s="198" t="s">
        <v>498</v>
      </c>
    </row>
    <row r="49">
      <c r="A49" s="199" t="s">
        <v>229</v>
      </c>
    </row>
    <row r="50">
      <c r="A50" s="199" t="s">
        <v>548</v>
      </c>
    </row>
    <row r="51">
      <c r="A51" s="198" t="s">
        <v>549</v>
      </c>
    </row>
    <row r="52">
      <c r="A52" s="198" t="s">
        <v>550</v>
      </c>
    </row>
    <row r="53">
      <c r="A53" s="198" t="s">
        <v>551</v>
      </c>
    </row>
    <row r="54">
      <c r="A54" s="198" t="s">
        <v>552</v>
      </c>
    </row>
    <row r="55">
      <c r="A55" s="198" t="s">
        <v>553</v>
      </c>
    </row>
    <row r="56">
      <c r="A56" s="199" t="s">
        <v>554</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s>
  <drawing r:id="rId5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9.14"/>
    <col customWidth="1" min="3" max="3" width="96.71"/>
    <col customWidth="1" min="4" max="4" width="34.57"/>
    <col customWidth="1" min="5" max="5" width="104.43"/>
  </cols>
  <sheetData>
    <row r="1">
      <c r="A1" s="200" t="s">
        <v>555</v>
      </c>
      <c r="B1" s="122"/>
      <c r="C1" s="122"/>
      <c r="D1" s="122"/>
      <c r="E1" s="123"/>
      <c r="F1" s="119"/>
    </row>
    <row r="2">
      <c r="A2" s="20"/>
    </row>
    <row r="3">
      <c r="A3" s="131" t="s">
        <v>556</v>
      </c>
      <c r="B3" s="131" t="s">
        <v>557</v>
      </c>
      <c r="C3" s="124" t="s">
        <v>20</v>
      </c>
      <c r="D3" s="124" t="s">
        <v>178</v>
      </c>
      <c r="E3" s="124" t="s">
        <v>67</v>
      </c>
    </row>
    <row r="4">
      <c r="A4" s="201" t="s">
        <v>558</v>
      </c>
      <c r="B4" s="127" t="s">
        <v>559</v>
      </c>
      <c r="C4" s="127" t="s">
        <v>560</v>
      </c>
      <c r="D4" s="178" t="s">
        <v>561</v>
      </c>
      <c r="E4" s="202" t="s">
        <v>562</v>
      </c>
      <c r="F4" s="203"/>
    </row>
    <row r="5">
      <c r="A5" s="204"/>
      <c r="B5" s="127" t="s">
        <v>563</v>
      </c>
      <c r="C5" s="127" t="s">
        <v>564</v>
      </c>
      <c r="D5" s="204"/>
      <c r="E5" s="204"/>
    </row>
    <row r="6">
      <c r="A6" s="204"/>
      <c r="B6" s="127" t="s">
        <v>565</v>
      </c>
      <c r="C6" s="127" t="s">
        <v>566</v>
      </c>
      <c r="D6" s="204"/>
      <c r="E6" s="205"/>
    </row>
    <row r="7">
      <c r="A7" s="205"/>
      <c r="B7" s="127" t="s">
        <v>567</v>
      </c>
      <c r="C7" s="127" t="s">
        <v>568</v>
      </c>
      <c r="D7" s="205"/>
      <c r="E7" s="206"/>
    </row>
    <row r="8">
      <c r="A8" s="201" t="s">
        <v>569</v>
      </c>
      <c r="B8" s="127" t="s">
        <v>570</v>
      </c>
      <c r="C8" s="127" t="s">
        <v>571</v>
      </c>
      <c r="D8" s="178" t="s">
        <v>572</v>
      </c>
      <c r="E8" s="207" t="s">
        <v>573</v>
      </c>
    </row>
    <row r="9">
      <c r="A9" s="204"/>
      <c r="B9" s="127" t="s">
        <v>574</v>
      </c>
      <c r="C9" s="127" t="s">
        <v>575</v>
      </c>
      <c r="D9" s="204"/>
      <c r="E9" s="204"/>
    </row>
    <row r="10">
      <c r="A10" s="204"/>
      <c r="B10" s="127" t="s">
        <v>576</v>
      </c>
      <c r="C10" s="127" t="s">
        <v>577</v>
      </c>
      <c r="D10" s="204"/>
      <c r="E10" s="204"/>
    </row>
    <row r="11">
      <c r="A11" s="204"/>
      <c r="B11" s="127" t="s">
        <v>578</v>
      </c>
      <c r="C11" s="127" t="s">
        <v>579</v>
      </c>
      <c r="D11" s="204"/>
      <c r="E11" s="204"/>
    </row>
    <row r="12">
      <c r="A12" s="205"/>
      <c r="B12" s="127" t="s">
        <v>580</v>
      </c>
      <c r="C12" s="127" t="s">
        <v>581</v>
      </c>
      <c r="D12" s="205"/>
      <c r="E12" s="205"/>
    </row>
    <row r="13">
      <c r="A13" s="201" t="s">
        <v>582</v>
      </c>
      <c r="B13" s="127" t="s">
        <v>583</v>
      </c>
      <c r="C13" s="127" t="s">
        <v>584</v>
      </c>
      <c r="D13" s="178" t="s">
        <v>585</v>
      </c>
      <c r="E13" s="208" t="s">
        <v>586</v>
      </c>
    </row>
    <row r="14">
      <c r="A14" s="204"/>
      <c r="B14" s="127" t="s">
        <v>587</v>
      </c>
      <c r="C14" s="127" t="s">
        <v>588</v>
      </c>
      <c r="D14" s="204"/>
      <c r="E14" s="204"/>
    </row>
    <row r="15">
      <c r="A15" s="204"/>
      <c r="B15" s="127" t="s">
        <v>589</v>
      </c>
      <c r="C15" s="127" t="s">
        <v>590</v>
      </c>
      <c r="D15" s="204"/>
      <c r="E15" s="204"/>
    </row>
    <row r="16">
      <c r="A16" s="205"/>
      <c r="B16" s="127" t="s">
        <v>591</v>
      </c>
      <c r="C16" s="127" t="s">
        <v>592</v>
      </c>
      <c r="D16" s="205"/>
      <c r="E16" s="205"/>
    </row>
    <row r="17">
      <c r="A17" s="201" t="s">
        <v>593</v>
      </c>
      <c r="B17" s="127" t="s">
        <v>594</v>
      </c>
      <c r="C17" s="127" t="s">
        <v>595</v>
      </c>
      <c r="D17" s="178" t="s">
        <v>596</v>
      </c>
      <c r="E17" s="208" t="s">
        <v>597</v>
      </c>
    </row>
    <row r="18">
      <c r="A18" s="205"/>
      <c r="B18" s="127" t="s">
        <v>598</v>
      </c>
      <c r="C18" s="127" t="s">
        <v>599</v>
      </c>
      <c r="D18" s="205"/>
      <c r="E18" s="205"/>
    </row>
  </sheetData>
  <mergeCells count="13">
    <mergeCell ref="D8:D12"/>
    <mergeCell ref="D13:D16"/>
    <mergeCell ref="D17:D18"/>
    <mergeCell ref="E17:E18"/>
    <mergeCell ref="A13:A16"/>
    <mergeCell ref="A17:A18"/>
    <mergeCell ref="A2:F2"/>
    <mergeCell ref="A4:A7"/>
    <mergeCell ref="D4:D7"/>
    <mergeCell ref="E4:E6"/>
    <mergeCell ref="A8:A12"/>
    <mergeCell ref="E8:E12"/>
    <mergeCell ref="E13:E16"/>
  </mergeCells>
  <hyperlinks>
    <hyperlink r:id="rId1" ref="E4"/>
    <hyperlink r:id="rId2" ref="E8"/>
    <hyperlink r:id="rId3" ref="E13"/>
    <hyperlink r:id="rId4" ref="E17"/>
  </hyperlinks>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2026-03-09T00:04:40Z</dcterms:created>
</cp:coreProperties>
</file>